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32" tabRatio="890" firstSheet="7" activeTab="7"/>
  </bookViews>
  <sheets>
    <sheet name="XXXX" sheetId="53" state="veryHidden" r:id="rId1"/>
    <sheet name="Công trình" sheetId="1" state="hidden" r:id="rId2"/>
    <sheet name="Giá tháng" sheetId="2" state="hidden" r:id="rId3"/>
    <sheet name="Đầu vào" sheetId="3" state="hidden" r:id="rId4"/>
    <sheet name="Nhân công" sheetId="4" state="hidden" r:id="rId5"/>
    <sheet name="Máy" sheetId="5" state="hidden" r:id="rId6"/>
    <sheet name="HaoPhiVatTu" sheetId="6" state="hidden" r:id="rId7"/>
    <sheet name="Dự thầu" sheetId="24" r:id="rId8"/>
    <sheet name="Chiết tính" sheetId="21" r:id="rId9"/>
    <sheet name="Tổng hợp VT" sheetId="7" r:id="rId10"/>
    <sheet name="THVT gộp" sheetId="8" state="hidden" r:id="rId11"/>
    <sheet name="Cước VC" sheetId="9" state="hidden" r:id="rId12"/>
    <sheet name="Cước bộ" sheetId="10" state="hidden" r:id="rId13"/>
    <sheet name="Đơn giá chi tiết" sheetId="11" state="hidden" r:id="rId14"/>
    <sheet name="Giá tổng hợp" sheetId="12" state="hidden" r:id="rId15"/>
    <sheet name="THKP hạng mục" sheetId="13" state="hidden" r:id="rId16"/>
    <sheet name="TH chi phí XD" sheetId="14" state="hidden" r:id="rId17"/>
    <sheet name="TH chi phí TB" sheetId="15" state="hidden" r:id="rId18"/>
    <sheet name="HM chung" sheetId="16" state="hidden" r:id="rId19"/>
    <sheet name="Dự phòng" sheetId="17" state="hidden" r:id="rId20"/>
    <sheet name="TH kinh phí" sheetId="18" state="hidden" r:id="rId21"/>
    <sheet name="Luật XD" sheetId="19" state="hidden" r:id="rId22"/>
    <sheet name="Công trình TL" sheetId="20" state="hidden" r:id="rId23"/>
    <sheet name="Hệ số" sheetId="22" state="hidden" r:id="rId24"/>
    <sheet name="Đơn giá TH" sheetId="23" state="hidden" r:id="rId25"/>
    <sheet name="HM chung thầu" sheetId="25" state="hidden" r:id="rId26"/>
    <sheet name="Dự phòng thầu" sheetId="26" state="hidden" r:id="rId27"/>
    <sheet name="Dự toán gói thầu" sheetId="27" state="hidden" r:id="rId28"/>
    <sheet name="Phân tích VT" sheetId="28" state="hidden" r:id="rId29"/>
    <sheet name="Bìa" sheetId="29" state="hidden" r:id="rId30"/>
    <sheet name="NhiênLiệu" sheetId="30" state="hidden" r:id="rId31"/>
    <sheet name="Thẩm định" sheetId="31" state="hidden" r:id="rId32"/>
    <sheet name="Thép" sheetId="32" state="hidden" r:id="rId33"/>
    <sheet name="HSXL" sheetId="33" state="hidden" r:id="rId34"/>
    <sheet name="Định mức tư vấn" sheetId="34" state="hidden" r:id="rId35"/>
    <sheet name="Quyết toán" sheetId="35" state="hidden" r:id="rId36"/>
    <sheet name="Giá tháng QT" sheetId="36" state="hidden" r:id="rId37"/>
    <sheet name="Đầu vào QT" sheetId="37" state="hidden" r:id="rId38"/>
    <sheet name="Nhân công QT" sheetId="38" state="hidden" r:id="rId39"/>
    <sheet name="Máy QT" sheetId="39" state="hidden" r:id="rId40"/>
    <sheet name="HaoPhiVatTu QT" sheetId="40" state="hidden" r:id="rId41"/>
    <sheet name="Tổng hợp VT QT" sheetId="41" state="hidden" r:id="rId42"/>
    <sheet name="Cước VC QT" sheetId="42" state="hidden" r:id="rId43"/>
    <sheet name="Cước bộ QT" sheetId="43" state="hidden" r:id="rId44"/>
    <sheet name="NhiênLiệu QT" sheetId="44" state="hidden" r:id="rId45"/>
    <sheet name="Chiết tính QT" sheetId="45" state="hidden" r:id="rId46"/>
    <sheet name="Dự thầu QT" sheetId="46" state="hidden" r:id="rId47"/>
    <sheet name="Hệ số QT" sheetId="47" state="hidden" r:id="rId48"/>
    <sheet name="HSXLQT" sheetId="48" state="hidden" r:id="rId49"/>
    <sheet name="KL hoàn thành" sheetId="49" state="hidden" r:id="rId50"/>
    <sheet name="KL phát sinh" sheetId="50" state="hidden" r:id="rId51"/>
    <sheet name="Tổng hợp QT" sheetId="51" state="hidden" r:id="rId52"/>
    <sheet name="Cấu hình" sheetId="52" state="hidden" r:id="rId5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E6" authorId="0">
      <text>
        <r>
          <rPr>
            <sz val="8.25"/>
            <color indexed="8"/>
            <rFont val="Microsoft Sans Serif"/>
            <charset val="0"/>
          </rPr>
          <t>Có thể thay đổi tên Hạng Mục đầu tiên tại ô này.</t>
        </r>
      </text>
    </comment>
    <comment ref="P164" authorId="0">
      <text>
        <r>
          <rPr>
            <sz val="8.25"/>
            <color indexed="8"/>
            <rFont val="Microsoft Sans Serif"/>
            <charset val="0"/>
          </rPr>
          <t>679980</t>
        </r>
      </text>
    </comment>
    <comment ref="P199" authorId="0">
      <text>
        <r>
          <rPr>
            <sz val="8.25"/>
            <color indexed="8"/>
            <rFont val="Microsoft Sans Serif"/>
            <charset val="0"/>
          </rPr>
          <t>679980</t>
        </r>
      </text>
    </comment>
    <comment ref="P234" authorId="0">
      <text>
        <r>
          <rPr>
            <sz val="8.25"/>
            <color indexed="8"/>
            <rFont val="Microsoft Sans Serif"/>
            <charset val="0"/>
          </rPr>
          <t>620482</t>
        </r>
      </text>
    </comment>
    <comment ref="P281" authorId="0">
      <text>
        <r>
          <rPr>
            <sz val="8.25"/>
            <color indexed="8"/>
            <rFont val="Microsoft Sans Serif"/>
            <charset val="0"/>
          </rPr>
          <t>654481</t>
        </r>
      </text>
    </comment>
    <comment ref="P444" authorId="0">
      <text>
        <r>
          <rPr>
            <sz val="8.25"/>
            <color indexed="8"/>
            <rFont val="Microsoft Sans Serif"/>
            <charset val="0"/>
          </rPr>
          <t>679980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6" authorId="0">
      <text>
        <r>
          <rPr>
            <sz val="8.25"/>
            <color indexed="8"/>
            <rFont val="Microsoft Sans Serif"/>
            <charset val="0"/>
          </rPr>
          <t>Click vào nút này để xác định mức lương dựa theo Tỉnh, Thành phố hoặc Huyện mà bạn triển khai công trình</t>
        </r>
      </text>
    </comment>
    <comment ref="E22" authorId="0">
      <text>
        <r>
          <rPr>
            <sz val="8.25"/>
            <color indexed="8"/>
            <rFont val="Microsoft Sans Serif"/>
            <charset val="0"/>
          </rPr>
          <t>Click vào đây để xem Báo giá xăng dầu của Tập đoàn Petrolimex - Việt Nam</t>
        </r>
      </text>
    </comment>
    <comment ref="E24" authorId="0">
      <text>
        <r>
          <rPr>
            <sz val="8.25"/>
            <color indexed="8"/>
            <rFont val="Microsoft Sans Serif"/>
            <charset val="0"/>
          </rPr>
          <t>Click vào đây để xem Giá bán điện của Bộ Công Thương</t>
        </r>
      </text>
    </comment>
  </commentList>
</comments>
</file>

<file path=xl/sharedStrings.xml><?xml version="1.0" encoding="utf-8"?>
<sst xmlns="http://schemas.openxmlformats.org/spreadsheetml/2006/main" count="7095" uniqueCount="1148">
  <si>
    <t>BẢNG DỰ TOÁN HẠNG MỤC CÔNG TRÌNH</t>
  </si>
  <si>
    <t>CÔNG TRÌNH : NHÀ LIÊN KẾ TẠI Ô ĐẤT QUY HOẠCH KÝ HIỆU TỪ C-TT1 ĐẾN C-TT16</t>
  </si>
  <si>
    <t>HẠNG MỤC: MẪU M20 - KẾT CẤU MÓNG</t>
  </si>
  <si>
    <t>STT</t>
  </si>
  <si>
    <t>Mã số</t>
  </si>
  <si>
    <t>Tên công tác / Diễn giải khối lượng</t>
  </si>
  <si>
    <t>Đơn vị</t>
  </si>
  <si>
    <t>Số</t>
  </si>
  <si>
    <t>Kích thước</t>
  </si>
  <si>
    <t>Hệ số</t>
  </si>
  <si>
    <t>Tổng</t>
  </si>
  <si>
    <t>D.tích</t>
  </si>
  <si>
    <t>K.L</t>
  </si>
  <si>
    <t>Khối lượng</t>
  </si>
  <si>
    <t>Đơn giá</t>
  </si>
  <si>
    <t>Thành tiền</t>
  </si>
  <si>
    <t>Hệ số điều chỉnh</t>
  </si>
  <si>
    <t>Đã dùng đơn giá</t>
  </si>
  <si>
    <t>Hao phí định mức</t>
  </si>
  <si>
    <t>Hệ số định mức</t>
  </si>
  <si>
    <t>Thi công</t>
  </si>
  <si>
    <t>Tỉnh TP / Chuyên ngành</t>
  </si>
  <si>
    <t>Định mức</t>
  </si>
  <si>
    <t>P.L Vữa</t>
  </si>
  <si>
    <t>C.K</t>
  </si>
  <si>
    <t>Dài</t>
  </si>
  <si>
    <t>Rộng</t>
  </si>
  <si>
    <t>Cao</t>
  </si>
  <si>
    <t>phụ</t>
  </si>
  <si>
    <t>( M2 )</t>
  </si>
  <si>
    <t>C.Kiện</t>
  </si>
  <si>
    <t>Vật liệu</t>
  </si>
  <si>
    <t>V.L phụ</t>
  </si>
  <si>
    <t>Nhân công</t>
  </si>
  <si>
    <t>Máy T.C</t>
  </si>
  <si>
    <t>Máy thi công</t>
  </si>
  <si>
    <t>V.L</t>
  </si>
  <si>
    <t>N.C</t>
  </si>
  <si>
    <t>Máy</t>
  </si>
  <si>
    <t>Giá máy</t>
  </si>
  <si>
    <t>Bắt đầu</t>
  </si>
  <si>
    <t>Kết thúc</t>
  </si>
  <si>
    <t>HM</t>
  </si>
  <si>
    <t>Phần đào móng</t>
  </si>
  <si>
    <t>AB.25112</t>
  </si>
  <si>
    <t>Đào móng công trình, chiều rộng móng &lt;=6 m, bằng máy đào &lt;=0,8 m3, đất cấp II</t>
  </si>
  <si>
    <t>100m3</t>
  </si>
  <si>
    <t>DG5481_462_588HN_XD</t>
  </si>
  <si>
    <t>GM242015</t>
  </si>
  <si>
    <t>N.0007~Nhân công bậc 3,0/7 - Nhóm I~công~6.11~6.11~199123~205597~0~1~1~0~0~N1.30~</t>
  </si>
  <si>
    <t>M.0088~Máy đào 0,8m3~ca~0.372~0.372~2506803~2579554~503539~1~1~0~0~M6~</t>
  </si>
  <si>
    <t>HaNoi</t>
  </si>
  <si>
    <t>Đào móng công trình đến cos -1,7</t>
  </si>
  <si>
    <t>AB.11362</t>
  </si>
  <si>
    <t>Đào móng băng, rộng &gt;3 m, sâu &lt;=2 m, đất cấp II</t>
  </si>
  <si>
    <t>m3</t>
  </si>
  <si>
    <t>N.0007~Nhân công bậc 3,0/7 - Nhóm I~công~0.68~0.68~199123~205597~0~1~1~0~0~N1.30~</t>
  </si>
  <si>
    <t>Thi công phần móng</t>
  </si>
  <si>
    <t>AB.65120</t>
  </si>
  <si>
    <t>Đắp đất công trình bằng đầm cóc, độ chặt yêu cầu K=0,90</t>
  </si>
  <si>
    <t>N.0012~Nhân công bậc 4,0/7 - Nhóm I~công~8.84~8.84~233923~242718~0~1~1~0~0~N1.40~</t>
  </si>
  <si>
    <t>M.0109~Máy đầm cóc~ca~4.42~4.42~313433~324280~212508~1~1~0~0~M70~</t>
  </si>
  <si>
    <t>KL đào</t>
  </si>
  <si>
    <t>Trừ KL bê tông lót</t>
  </si>
  <si>
    <t>Trừ cọc ngàm vào đài</t>
  </si>
  <si>
    <t>Trừ KL bê tông móng, giằng móng, cổ cột</t>
  </si>
  <si>
    <t>Trừ KL xây tường móng</t>
  </si>
  <si>
    <t>GT-1</t>
  </si>
  <si>
    <t>GT-2</t>
  </si>
  <si>
    <t>DT-0</t>
  </si>
  <si>
    <t>AB.66142</t>
  </si>
  <si>
    <t>Đắp cát công trình bằng máy đầm cóc, độ chặt yêu cầu K=0,90</t>
  </si>
  <si>
    <t>A.0506~Cát đen~m3~122~122~55000~73730~0~1~1~0~81103~CatDen~(Áp theo Thông báo giá VL số : 02/2018/CBGVL-LS của UBND Thành phố Hà Nội ngày 01/06/2018)</t>
  </si>
  <si>
    <t>N.0007~Nhân công bậc 3,0/7 - Nhóm I~công~4.64~4.64~199123~205597~0~1~1~0~0~N1.30~</t>
  </si>
  <si>
    <t>M.0109~Máy đầm cóc~ca~2.32~2.32~313433~324280~212508~1~1~0~0~M70~žM999~Máy khác~%~1.5~1.5~7271.6456~7523.296~0~1~1~0~0~~</t>
  </si>
  <si>
    <t>Kl đắp đến cos-0.15</t>
  </si>
  <si>
    <t>Kl đắp đến cos-0.3</t>
  </si>
  <si>
    <t>AB.41432</t>
  </si>
  <si>
    <t>Vận chuyển đất bằng ôtô tự đổ, phạm vi &lt;=1000m, ôtô 10T, đất cấp II</t>
  </si>
  <si>
    <t>M.0018~Ô tô tự đổ 10T~ca~0.77~0.77~1897480~1844939~268723~1~1~0~0~M111~</t>
  </si>
  <si>
    <t>Trừ KL đắp</t>
  </si>
  <si>
    <t>AB.42332</t>
  </si>
  <si>
    <t>Vận chuyển đất tiếp cự ly &lt;=7 km bằng ôtô tự đổ 10T, đất cấp II</t>
  </si>
  <si>
    <t>M.0018~Ô tô tự đổ 10T~ca~0.22~0.22~1897480~1844939~268723~1~1~0~0~M111~</t>
  </si>
  <si>
    <t>AB.42432</t>
  </si>
  <si>
    <t>Vận chuyển đất tiếp cự ly &gt;7 km bằng ôtô tự đổ 10T, đất cấp II</t>
  </si>
  <si>
    <t>M.0018~Ô tô tự đổ 10T~ca~0.136~0.136~1897480~1844939~268723~1~1~0~0~M111~</t>
  </si>
  <si>
    <t>SA.42310</t>
  </si>
  <si>
    <t>Cắt sàn bê tông bằng máy - chiều dày &lt;=10cm - Cắt đầu cọc</t>
  </si>
  <si>
    <t>m</t>
  </si>
  <si>
    <t>00312~Đá cắt bê tông~viên~0.049~0.049~15500~15500~0~1~1~0~17050~~ž00375~Đá mài~viên~0.02~0.02~15000~15000~0~1~1~0~16500~DaMai~žZ999~Vật liệu khác~%~2~2~10.595~10.595~0~1~1~0~0~VatLieuKha~</t>
  </si>
  <si>
    <t>N0097~Nhân công bậc 3,7/7 (A.1.8 nhóm 1)~công~0.31~0.31~223483~231582~0~1~1~0~0~N1.37~</t>
  </si>
  <si>
    <t>M0666~Máy cắt bê tông 1,5Kw~Ca~0.067~0.067~229221~238130~212508~1~1~0~0~M446~žM0947~Máy mài 1Kw~Ca~0.03~0.03~217456~213286~212508~1~1~0~0~M457~žM999~Máy khác~%~5~5~218.81487~223.5329~0~1~1~0~0~~</t>
  </si>
  <si>
    <t>AF.11111</t>
  </si>
  <si>
    <t>C2141</t>
  </si>
  <si>
    <t>Bê tông sản xuất bằng máy trộn - đổ bằng thủ công, bêtông lót móng, đá 4x6, chiều rộng &lt;=250 cm, mác 100</t>
  </si>
  <si>
    <t>A.3172~Xi măng PCB30~kg~200.85~200.85~1045~1140~0~1~1~0~1254~XiMangPCB30~(Áp theo Thông báo giá VL số : 02/2018/CBGVL-LS của UBND Thành phố Hà Nội ngày 01/06/2018)žA.0516~Cát vàng~m3~0.53148~0.53148~189000~258560~0~1~1~0~284416~CatVang~(Áp theo Thông báo giá VL số : 02/2018/CBGVL-LS của UBND Thành phố Hà Nội ngày 01/06/2018)žA.1357~Đá dăm 4x6~m3~0.93627~0.93627~186000~227000~0~1~1~0~249700~Da4x6~(Áp theo Thông báo giá VL số : 02/2018/CBGVL-LS của UBND Thành phố Hà Nội ngày 01/06/2018)žA.2062~Nước (lít)~lít~169.95~169.95~4.5~8~0~1~1~0~8.8~Nuoc(Lit)~</t>
  </si>
  <si>
    <t>N.0007~Nhân công bậc 3,0/7 - Nhóm I~công~1.42~1.42~199123~205597~0~1~1~0~0~N1.30~</t>
  </si>
  <si>
    <t>M.0249~Máy trộn bê tông 250l~ca~0.095~0.095~270051~301306~212508~1~1~0~0~M270~žM.0108~Máy đầm bàn 1kW~ca~0.089~0.089~226240~234046~212508~1~1~0~0~M305~</t>
  </si>
  <si>
    <t>Đ1</t>
  </si>
  <si>
    <t>Đ2</t>
  </si>
  <si>
    <t>Đ3</t>
  </si>
  <si>
    <t xml:space="preserve">DM-1: </t>
  </si>
  <si>
    <t>DM2</t>
  </si>
  <si>
    <t>DM3</t>
  </si>
  <si>
    <t>AF.81111</t>
  </si>
  <si>
    <t>Ván khuôn cho bê tông đổ tại chỗ, ván khuôn gỗ, ván khuôn móng dài, bệ máy</t>
  </si>
  <si>
    <t>100m2</t>
  </si>
  <si>
    <t>A.1760~Gỗ ván~m3~0.792~0.792~2000000~2000000~0~1~1~0~2200000~GoVan(m3)~žA.1736~Gỗ đà nẹp~m3~0.0865~0.0865~2000000~2000000~0~1~1~0~2200000~GoDa~žA.1739~Gỗ chống~m3~0.459~0.459~2000000~2000000~0~1~1~0~2200000~GoChong~žA.1451~Đinh~kg~12~12~19000~20000~0~1~1~0~20900~Dinh~žZ999~Vật liệu khác~%~1~1~29030~29150~0~1~1~0~0~VatLieuKhac~</t>
  </si>
  <si>
    <t>N.0010~Nhân công bậc 3,5/7 - Nhóm I~công~13.61~13.61~216523~224158~0~1~1~0~0~N1.35~</t>
  </si>
  <si>
    <t>Ván khuôn lót móng:</t>
  </si>
  <si>
    <t>Ván khuôn móng:</t>
  </si>
  <si>
    <t>AF.61110</t>
  </si>
  <si>
    <t>Công tác sản xuất lắp dựng cốt thép bê tông tại chỗ, cốt thép móng, đường kính &lt;=10 mm</t>
  </si>
  <si>
    <t>tấn</t>
  </si>
  <si>
    <t>A.2933~Thép tròn d&lt;=10mm~kg~1005~1005~16010~12900~0~1~1~0~14190~ThepTron&lt;=10~(Áp theo Thông báo giá VL số : 02/2018/CBGVL-LS của UBND Thành phố Hà Nội ngày 01/06/2018)žA.1275~Dây thép~kg~21.42~21.42~19000~20000~0~1~1~0~22000~DayThep~</t>
  </si>
  <si>
    <t>N.0010~Nhân công bậc 3,5/7 - Nhóm I~công~11.32~11.32~216523~224158~0~1~1~0~0~N1.35~</t>
  </si>
  <si>
    <t>M.0146~Máy cắt uốn cắt thép 5kW~ca~0.4~0.4~236812~240449~212508~1~1~0~0~M454~</t>
  </si>
  <si>
    <t>Đ1 : 2*(5+4,6+7,9+8,3+1,8)/1000 = 0,0552</t>
  </si>
  <si>
    <t>Đ2 : 2*(17,3+13,8+17,1+29+4,9)/1000 = 0,1642</t>
  </si>
  <si>
    <t>Đ3 : 2*(5+14,5+20,6+8,3+2,9)/1000 = 0,1026</t>
  </si>
  <si>
    <t>Cọc liên kết với đài : 12*(0,9)/1000 = 0,0108</t>
  </si>
  <si>
    <t>AF.61120</t>
  </si>
  <si>
    <t>Công tác sản xuất lắp dựng cốt thép bê tông tại chỗ, cốt thép móng, đường kính &lt;=18 mm</t>
  </si>
  <si>
    <t>A.2935~Thép tròn D&lt;=18mm~kg~1020~1020~15718~13300~0~1~1~0~14630~ThepTron&lt;=18~(Áp theo Thông báo giá VL số : 02/2018/CBGVL-LS của UBND Thành phố Hà Nội ngày 01/06/2018)žA.1275~Dây thép~kg~14.28~14.28~19000~20000~0~1~1~0~20900~DayThep~žA.2608~Que hàn~kg~4.64~4.64~18600~19800~0~1~1~0~21780~QueHan~(Áp theo Thông báo giá VL số : 02/2018/CBGVL-LS của UBND Thành phố Hà Nội ngày 01/06/2018)</t>
  </si>
  <si>
    <t>N.0010~Nhân công bậc 3,5/7 - Nhóm I~công~8.34~8.34~216523~224158~0~1~1~0~0~N1.35~</t>
  </si>
  <si>
    <t>M.0159~Máy hàn 23 KW~ca~1.12~1.12~328420~361135~248200~1~1~0~0~M423~žM.0146~Máy cắt uốn cắt thép 5kW~ca~0.32~0.32~236812~240449~212508~1~1~0~0~M454~</t>
  </si>
  <si>
    <t>Cọc liên kết với đài : 12*(3,55+0,6+0,51)/1000 = 0,0559</t>
  </si>
  <si>
    <t>Ván khuôn cho bê tông đổ tại chỗ, ván khuôn gỗ, ván khuôn móng dài, bệ máy - Dầm móng</t>
  </si>
  <si>
    <t>Ván khuôn lót dầm móng</t>
  </si>
  <si>
    <t>Ván khuôn dầm móng</t>
  </si>
  <si>
    <t xml:space="preserve">GT1 : </t>
  </si>
  <si>
    <t>GT2 :</t>
  </si>
  <si>
    <t>Công tác sản xuất lắp dựng cốt thép bê tông tại chỗ, cốt thép móng, đường kính &lt;=10 mm - Dầm móng</t>
  </si>
  <si>
    <t>A.2933~Thép tròn d&lt;=10mm~kg~1005~1005~16010~12900~0~1~1~0~17611~ThepTron&lt;=10~žA.1275~Dây thép~kg~21.42~21.42~19000~20000~0~1~1~0~20900~DayThep~</t>
  </si>
  <si>
    <t>DM-1 : 2*(55,3+2,9)/1000 = 0,1164</t>
  </si>
  <si>
    <t>DM2 : 2*(23,7+1,3)/1000 = 0,05</t>
  </si>
  <si>
    <t>DM3 : 2*(23,7+1,3)/1000 = 0,05</t>
  </si>
  <si>
    <t>DT-0 : 1,3/1000 = 0,0013</t>
  </si>
  <si>
    <t>GT1 : (3,9+1,5)/1000 = 0,0054</t>
  </si>
  <si>
    <t>GT2 : (22,5+8,4)/1000 = 0,0309</t>
  </si>
  <si>
    <t>Công tác sản xuất lắp dựng cốt thép bê tông tại chỗ, cốt thép móng, đường kính &lt;=18 mm - Dầm móng</t>
  </si>
  <si>
    <t>A.2935~Thép tròn D&lt;=18mm~kg~1020~1020~15718~13300~0~1~1~0~17289.8~ThepTron&lt;=18~žA.1275~Dây thép~kg~14.28~14.28~19000~20000~0~1~1~0~20900~DayThep~žA.2608~Que hàn~kg~4.64~4.64~18600~19800~0~1~1~0~20460~QueHan~</t>
  </si>
  <si>
    <t>DM-1 : 2*(54,8+28)/1000 = 0,1656</t>
  </si>
  <si>
    <t>DM2 : 2*(23,4+11,9)/1000 = 0,0706</t>
  </si>
  <si>
    <t>DM3 : 2*(23,4+11,9)/1000 = 0,0706</t>
  </si>
  <si>
    <t>DT-0 : (3,5+5,1)/1000 = 0,0086</t>
  </si>
  <si>
    <t>AF.61130</t>
  </si>
  <si>
    <t>Công tác sản xuất lắp dựng cốt thép bê tông tại chỗ, cốt thép móng, đường kính &gt;18 mm - Dầm móng</t>
  </si>
  <si>
    <t>A.2939~Thép tròn D&gt;18mm~kg~1020~1020~15718~13300~0~1~1~0~17289.8~ThepTron&gt;18~žA.1275~Dây thép~kg~14.28~14.28~19000~20000~0~1~1~0~20900~DayThep~žA.2608~Que hàn~kg~5.3~5.3~18600~19800~0~1~1~0~20460~QueHan~</t>
  </si>
  <si>
    <t>N.0010~Nhân công bậc 3,5/7 - Nhóm I~công~6.35~6.35~216523~224158~0~1~1~0~0~N1.35~</t>
  </si>
  <si>
    <t>M.0159~Máy hàn 23 KW~ca~1.27~1.27~328420~361135~248200~1~1~0~0~M423~žM.0146~Máy cắt uốn cắt thép 5kW~ca~0.16~0.16~236812~240449~212508~1~1~0~0~M454~</t>
  </si>
  <si>
    <t>DM1 : 2*126,1/1000 = 0,2522</t>
  </si>
  <si>
    <t>DM2 : 2*60,6/1000 = 0,1212</t>
  </si>
  <si>
    <t>DM3 : 2*45,4/1000 = 0,0908</t>
  </si>
  <si>
    <t>AF.31114</t>
  </si>
  <si>
    <t>C2324</t>
  </si>
  <si>
    <t>Bê tông sản xuất qua dây chuyền trạm trộn tại hiện trường hoặc thương phẩm, đổ bằng bơm bê tông, bê tông móng, chiều rộng móng &lt;=250 cm, M250</t>
  </si>
  <si>
    <t>C2324~Vữa XMPCB30, cát vàng, đá 1x2   M250~m3~1.015~1.015~1133120.6~1100000~0~1~1~0~1210000~Vua~(Áp theo Thông báo giá VL số : 02/2018/CBGVL-LS của UBND Thành phố Hà Nội ngày 01/06/2018)žZ999~Vật liệu khác~%~1~1~11501.17409~11165~0~1~1~0~0~VatLieuKhac~</t>
  </si>
  <si>
    <t>N.0007~Nhân công bậc 3,0/7 - Nhóm I~công~0.85~0.85~199123~205597~0~1~1~0~0~N1.30~</t>
  </si>
  <si>
    <t>M.0331~Xe bơm BT, tự hành 50m3/h~ca~0.033~0.033~3590501~4019344~574923~1~1~0~0~M295~žM.0110~Máy đầm dùi 1,5kW~ca~0.089~0.089~230940~237717~212508~1~1~0~0~M310~žM999~Máy khác~%~1~1~1390.40193~1537.95165~0~1~1~0~0~~</t>
  </si>
  <si>
    <t xml:space="preserve">Cọc liên kết với đài : </t>
  </si>
  <si>
    <t>Bê tông sản xuất qua dây chuyền trạm trộn tại hiện trường hoặc thương phẩm, đổ bằng bơm bê tông, bê tông dầm móng, chiều rộng móng &lt;=250 cm, M250</t>
  </si>
  <si>
    <t>AF.12314</t>
  </si>
  <si>
    <t>C2124</t>
  </si>
  <si>
    <t>Bê tông sản xuất bằng máy trộn - đổ bằng thủ công, bê tông xà dầm, giằng nhà, đá 1x2, mác 250</t>
  </si>
  <si>
    <t>A.3172~Xi măng PCB30~kg~415.125~415.125~1045~1140~0~1~1~0~1149.5~XiMangPCB30~žA.0516~Cát vàng~m3~0.4551~0.4551~189000~258560~0~1~1~0~207900~CatVang~žA.1355~Đá dăm 1x2~m3~0.886625~0.886625~214000~260000~0~1~1~0~235400~Da1x2~žA.2062~Nước (lít)~lít~189.625~189.625~4.5~8~0~1~1~0~4.95~Nuoc(Lit)~žZ999~Vật liệu khác~%~1~1~7104.105875~8229.52656~0~1~1~0~0~VatLieuKhac~</t>
  </si>
  <si>
    <t>N.0010~Nhân công bậc 3,5/7 - Nhóm I~công~3.56~3.56~216523~224158~0~1~1~0~0~N1.35~</t>
  </si>
  <si>
    <t>M.0249~Máy trộn bê tông 250l~ca~0.095~0.095~270051~301306~212508~1~1~0~0~M270~žM.0110~Máy đầm dùi 1,5kW~ca~0.18~0.18~230940~237717~212508~1~1~0~0~M310~žM.0255~Máy vận thăng 0,8T~ca~0.11~0.11~343100~393344~212508~1~1~0~0~M239~</t>
  </si>
  <si>
    <t>AF.89141</t>
  </si>
  <si>
    <t>Ván khuôn bằng ván ép phủ phim có khung xương,cột chống bằng hệ giáo ống . Ván khuôn cổ cột vuông ,chữ nhật (Theo Định mức 1172/QĐ-BXD)</t>
  </si>
  <si>
    <t>A.3511~Ván ép phủ phim~m2~10.5~10.5~0~200000~0~1~1~0~220000~VanEp~žA.1841~Khung xương (nhôm)~kg~13.73~13.73~0~69000~0~1~1~0~0~KhungXuongNhom~žZ999~Vật liệu khác~%~5~5~0~30473.7~0~1~1~0~0~VatLieuKhac~</t>
  </si>
  <si>
    <t>N.0012~Nhân công bậc 4,0/7 - Nhóm I~công~22.52~22.52~233923~242718~0~1~1~0~0~N1.40~</t>
  </si>
  <si>
    <t>M.0328~Vận thăng 0,8T~ca~0.25~0.25~343100~393344~212508~1~1~0~0~M239~žM999~Máy khác~%~2~2~857.75~983.36~0~1~1~0~0~~</t>
  </si>
  <si>
    <t>CC-01</t>
  </si>
  <si>
    <t>CC-02</t>
  </si>
  <si>
    <t>AF.61411</t>
  </si>
  <si>
    <t>Công tác sản xuất lắp dựng cốt thép bê tông tại chỗ, cốt thép cột, trụ, đường kính &lt;=10 mm, cột, trụ cao &lt;= 4 m - Cổ cột</t>
  </si>
  <si>
    <t>N.0010~Nhân công bậc 3,5/7 - Nhóm I~công~14.88~14.88~216523~224158~0~1~1~0~0~N1.35~</t>
  </si>
  <si>
    <t>CC-01 : 1*3,1/1000 = 0,0031</t>
  </si>
  <si>
    <t>CC-02 : 7*3,1/1000 = 0,0217</t>
  </si>
  <si>
    <t>AF.61421</t>
  </si>
  <si>
    <t>Công tác sản xuất lắp dựng cốt thép bê tông tại chỗ, cốt thép cột, trụ, đường kính &lt;=18 mm, cột, trụ cao &lt;= 4 m - Cổ cột</t>
  </si>
  <si>
    <t>A.2935~Thép tròn D&lt;=18mm~kg~1020~1020~15718~13300~0~1~1~0~14630~ThepTron&lt;=18~(Áp theo Thông báo giá VL số : 02/2018/CBGVL-LS của UBND Thành phố Hà Nội ngày 01/06/2018)žA.1275~Dây thép~kg~14.28~14.28~19000~20000~0~1~1~0~20900~DayThep~žA.2608~Que hàn~kg~4.82~4.82~18600~19800~0~1~1~0~21780~QueHan~(Áp theo Thông báo giá VL số : 02/2018/CBGVL-LS của UBND Thành phố Hà Nội ngày 01/06/2018)</t>
  </si>
  <si>
    <t>N.0010~Nhân công bậc 3,5/7 - Nhóm I~công~10.02~10.02~216523~224158~0~1~1~0~0~N1.35~</t>
  </si>
  <si>
    <t>M.0159~Máy hàn 23 KW~ca~1.16~1.16~328420~361135~248200~1~1~0~0~M423~žM.0146~Máy cắt uốn cắt thép 5kW~ca~0.32~0.32~236812~240449~212508~1~1~0~0~M454~</t>
  </si>
  <si>
    <t>CC-01 : 1*18,4/1000 = 0,0184</t>
  </si>
  <si>
    <t>AF.61431</t>
  </si>
  <si>
    <t>Công tác sản xuất lắp dựng cốt thép bê tông tại chỗ, cốt thép cột, trụ, đường kính &gt;18 mm, cột, trụ cao &lt;= 4 m - Cổ cột</t>
  </si>
  <si>
    <t>A.2939~Thép tròn D&gt;18mm~kg~1020~1020~15718~13300~0~1~1~0~14630~ThepTron&gt;18~(Áp theo Thông báo giá VL số : 02/2018/CBGVL-LS của UBND Thành phố Hà Nội ngày 01/06/2018)žA.1275~Dây thép~kg~14.28~14.28~19000~20000~0~1~1~0~20900~DayThep~žA.2608~Que hàn~kg~6.2~6.2~18600~19800~0~1~1~0~21780~QueHan~(Áp theo Thông báo giá VL số : 02/2018/CBGVL-LS của UBND Thành phố Hà Nội ngày 01/06/2018)</t>
  </si>
  <si>
    <t>N.0010~Nhân công bậc 3,5/7 - Nhóm I~công~8.48~8.48~216523~224158~0~1~1~0~0~N1.35~</t>
  </si>
  <si>
    <t>M.0159~Máy hàn 23 KW~ca~1.49~1.49~328420~361135~248200~1~1~0~0~M423~žM.0146~Máy cắt uốn cắt thép 5kW~ca~0.16~0.16~236812~240449~212508~1~1~0~0~M454~</t>
  </si>
  <si>
    <t>CC-02 : 7*22,7/1000 = 0,1589</t>
  </si>
  <si>
    <t>AF.12214</t>
  </si>
  <si>
    <t>Bê tông sản xuất bằng máy trộn - đổ bằng thủ công, bê tông cổ cột, đá 1x2, tiết diện cột &lt;=0,1 m2, mác 250</t>
  </si>
  <si>
    <t>A.1763~Gỗ ván cầu công tác~m3~0.02~0.02~2000000~2000000~0~1~1~0~2200000~GoVan~žA.1451~Đinh~kg~0.048~0.048~19000~20000~0~1~1~0~20900~Dinh~žA.1454~Đinh đỉa~cái~0.352~0.352~3000~3000~0~1~1~0~3300~DinhDia~žA.3172~Xi măng PCB30~kg~415.125~415.125~1045~1140~0~1~1~0~1254~XiMangPCB30~(Áp theo Thông báo giá VL số : 02/2018/CBGVL-LS của UBND Thành phố Hà Nội ngày 01/06/2018)žA.0516~Cát vàng~m3~0.4551~0.4551~189000~258560~0~1~1~0~284416~CatVang~(Áp theo Thông báo giá VL số : 02/2018/CBGVL-LS của UBND Thành phố Hà Nội ngày 01/06/2018)žA.1355~Đá dăm 1x2~m3~0.886625~0.886625~214000~260000~0~1~1~0~286000~Da1x2~(Áp theo Thông báo giá VL số : 02/2018/CBGVL-LS của UBND Thành phố Hà Nội ngày 01/06/2018)žA.2062~Nước (lít)~lít~189.625~189.625~4.5~8~0~1~1~0~4.95~Nuoc(Lit)~žZ999~Vật liệu khác~%~1~1~7523.785875~8649.68656~0~1~1~0~0~VatLieuKhac~</t>
  </si>
  <si>
    <t>N.0010~Nhân công bậc 3,5/7 - Nhóm I~công~4.5~4.5~216523~224158~0~1~1~0~0~N1.35~</t>
  </si>
  <si>
    <t>M.0249~Máy trộn bê tông 250l~ca~0.095~0.095~270051~301306~212508~1~1~0~0~M270~žM.0110~Máy đầm dùi 1,5kW~ca~0.18~0.18~230940~237717~212508~1~1~0~0~M310~</t>
  </si>
  <si>
    <t>AE.21214</t>
  </si>
  <si>
    <t>B1224</t>
  </si>
  <si>
    <t>Xây gạch chỉ 6x10,5x22, xây móng, chiều dày &gt; 33cm, vữa XM mác 75</t>
  </si>
  <si>
    <t>A.1557~Gạch chỉ 6,5x10,5x22~viên~539~539~1314~1314~0~1~1~0~1445~GachChi~http://gachviet.com.vn/gia-gach-do-gach-tuynel-tai-ha-noi-va-mot-so-tinh-mien-bac.htmlžA.3172~Xi măng PCB30~kg~96.009~96.009~1045~1140~0~1~1~0~1254~XiMangPCB30~(Áp theo Thông báo giá VL số : 02/2018/CBGVL-LS của UBND Thành phố Hà Nội ngày 01/06/2018)žA.0511~Cát mịn ML=1,5-2,0~m3~0.327~0.327~61000~84840~0~1~1~0~93324~CatMin~(Áp theo Thông báo giá VL số : 02/2018/CBGVL-LS của UBND Thành phố Hà Nội ngày 01/06/2018)žA.2062~Nước (lít)~lít~78~78~4.5~8~0~1~1~0~4.95~Nuoc(Lit)~</t>
  </si>
  <si>
    <t>N.0010~Nhân công bậc 3,5/7 - Nhóm I~công~1.49~1.49~216523~224158~0~1~1~0~0~N1.35~</t>
  </si>
  <si>
    <t>AE.21114</t>
  </si>
  <si>
    <t>Xây gạch chỉ 6x10,5x22, xây móng, chiều dày &lt;= 33cm, vữa XM mác 75</t>
  </si>
  <si>
    <t>A.1557~Gạch chỉ 6,5x10,5x22~viên~550~550~1314~1314~0~1~1~0~1445~GachChi~http://gachviet.com.vn/gia-gach-do-gach-tuynel-tai-ha-noi-va-mot-so-tinh-mien-bac.htmlžA.3172~Xi măng PCB30~kg~92.8087~92.8087~1045~1140~0~1~1~0~1254~XiMangPCB30~(Áp theo Thông báo giá VL số : 02/2018/CBGVL-LS của UBND Thành phố Hà Nội ngày 01/06/2018)žA.0511~Cát mịn ML=1,5-2,0~m3~0.3161~0.3161~61000~84840~0~1~1~0~93324~CatMin~(Áp theo Thông báo giá VL số : 02/2018/CBGVL-LS của UBND Thành phố Hà Nội ngày 01/06/2018)žA.2062~Nước (lít)~lít~75.4~75.4~4.5~8~0~1~1~0~4.95~Nuoc(Lit)~</t>
  </si>
  <si>
    <t>N.0010~Nhân công bậc 3,5/7 - Nhóm I~công~1.67~1.67~216523~224158~0~1~1~0~0~N1.35~</t>
  </si>
  <si>
    <t>THM</t>
  </si>
  <si>
    <t>TỔNG CỘNG : HẠNG MỤC: MẪU M20 - KẾT CẤU MÓNG</t>
  </si>
  <si>
    <t>HẠNG MỤC: MẪU M20 -KẾT CẤU PHẦN THÂN</t>
  </si>
  <si>
    <t>Cột</t>
  </si>
  <si>
    <t>AF.89142</t>
  </si>
  <si>
    <t>Ván khuôn bằng ván ép phủ phim có khung xương,cột chống bằng hệ giáo ống . Ván khuôn cột vuông ,chữ nhật, chiều cao &lt;=50m (Theo Định mức 1172/QĐ-BXD)</t>
  </si>
  <si>
    <t>N.0012~Nhân công bậc 4,0/7 - Nhóm I~công~24.75~24.75~233923~242718~0~1~1~0~0~N1.40~</t>
  </si>
  <si>
    <t>M.0330A~Vận thăng lồng 3T~ca~0.25~0.25~517497~740827~127367~1~1~0~0~M578~žM.0065~Cẩu tháp 25T~ca~0.25~0.25~2037169~2882825~552616~1~1~0~0~M215~žM999~Máy khác~%~2~2~6386.665~9059.13~0~1~1~0~0~~</t>
  </si>
  <si>
    <t>Tầng 1- tầng 4</t>
  </si>
  <si>
    <t>C1</t>
  </si>
  <si>
    <t>C2</t>
  </si>
  <si>
    <t>C2A</t>
  </si>
  <si>
    <t>Tầng 5</t>
  </si>
  <si>
    <t>Trụ 1</t>
  </si>
  <si>
    <t>AF.61413</t>
  </si>
  <si>
    <t>Công tác sản xuất lắp dựng cốt thép bê tông tại chỗ, cốt thép cột, trụ, đường kính &lt;=10 mm, cột, trụ cao &lt;= 50 m</t>
  </si>
  <si>
    <t>N.0010~Nhân công bậc 3,5/7 - Nhóm I~công~16.78~16.78~216523~224158~0~1~1~0~0~N1.35~</t>
  </si>
  <si>
    <t>M.0146~Máy cắt uốn cắt thép 5kW~ca~0.4~0.4~236812~240449~212508~1~1~0~0~M454~žM.0330~Vận thăng lồng 3T~ca~0.03~0.03~594337~740827~212508~1~1~0~0~M578~žM.0065~Cẩu tháp 25T~ca~0.03~0.03~2037169~2882825~552616~1~1~0~0~M215~žM999~Máy khác~%~2~2~1736.6998~2048.8916~0~1~1~0~0~~</t>
  </si>
  <si>
    <t>C1 : 1*17,7/1000 = 0,0177</t>
  </si>
  <si>
    <t>C2 : 5*17,7/1000 = 0,0885</t>
  </si>
  <si>
    <t>C2A : 2*14,2/1000 = 0,0284</t>
  </si>
  <si>
    <t>Trụ 1 : 2*3,5/1000 = 0,007</t>
  </si>
  <si>
    <t>AF.61423</t>
  </si>
  <si>
    <t>Công tác sản xuất lắp dựng cốt thép bê tông tại chỗ, cốt thép cột, trụ, đường kính &lt;=18 mm, cột, trụ cao &lt;= 50 m</t>
  </si>
  <si>
    <t>A.2935~Thép tròn D&lt;=18mm~kg~1020~1020~15718~13300~0~1~1~0~17289.8~ThepTron&lt;=18~žA.1275~Dây thép~kg~14.28~14.28~19000~20000~0~1~1~0~20900~DayThep~žA.2608~Que hàn~kg~4.82~4.82~18600~19800~0~1~1~0~20460~QueHan~</t>
  </si>
  <si>
    <t>N.0010~Nhân công bậc 3,5/7 - Nhóm I~công~11.21~11.21~216523~224158~0~1~1~0~0~N1.35~</t>
  </si>
  <si>
    <t>M.0159~Máy hàn 23 KW~ca~1.16~1.16~328420~361135~248200~1~1~0~0~M423~žM.0146~Máy cắt uốn cắt thép 5kW~ca~0.32~0.32~236812~240449~212508~1~1~0~0~M454~žM.0330~Vận thăng lồng 3T~ca~0.025~0.025~594337~740827~212508~1~1~0~0~M578~žM.0065~Cẩu tháp 25T~ca~0.025~0.025~2037169~2882825~552616~1~1~0~0~M215~žM999~Máy khác~%~2~2~5225.3469~5864.5158~0~1~1~0~0~~</t>
  </si>
  <si>
    <t>C1 : 1*(36+24,6+36,9+24,6+24,5)/1000 = 0,1466</t>
  </si>
  <si>
    <t>C2 : 5*(31,2+36,9+24,6+24,5)/1000 = 0,586</t>
  </si>
  <si>
    <t>C2A : 2*(31,2+36,9+22,6)/1000 = 0,1814</t>
  </si>
  <si>
    <t>Trụ 1 : 2*(24,6+7,4)/1000 = 0,064</t>
  </si>
  <si>
    <t>AF.61433</t>
  </si>
  <si>
    <t>Công tác sản xuất lắp dựng cốt thép bê tông tại chỗ, cốt thép cột, trụ, đường kính &gt;18 mm, cột, trụ cao &lt;= 50 m</t>
  </si>
  <si>
    <t>A.2939~Thép tròn D&gt;18mm~kg~1020~1020~15718~13300~0~1~1~0~17289.8~ThepTron&gt;18~žA.1275~Dây thép~kg~14.28~14.28~19000~20000~0~1~1~0~20900~DayThep~žA.2608~Que hàn~kg~6.2~6.2~18600~19800~0~1~1~0~20460~QueHan~</t>
  </si>
  <si>
    <t>N.0010~Nhân công bậc 3,5/7 - Nhóm I~công~9.74~9.74~216523~224158~0~1~1~0~0~N1.35~</t>
  </si>
  <si>
    <t>M.0159~Máy hàn 23 KW~ca~1.49~1.49~328420~361135~248200~1~1~0~0~M423~žM.0146~Máy cắt uốn cắt thép 5kW~ca~0.16~0.16~236812~240449~212508~1~1~0~0~M454~žM.0330~Vận thăng lồng 3T~ca~0.022~0.022~594337~740827~212508~1~1~0~0~M578~žM.0065~Cẩu tháp 25T~ca~0.022~0.022~2037169~2882825~552616~1~1~0~0~M215~žM999~Máy khác~%~2~2~5851.28852~6562.83334~0~1~1~0~0~~</t>
  </si>
  <si>
    <t>C2 : 5*44,4/1000 = 0,222</t>
  </si>
  <si>
    <t>C2A : 2*44,4/1000 = 0,0888</t>
  </si>
  <si>
    <t>AF.22224</t>
  </si>
  <si>
    <t>C2224</t>
  </si>
  <si>
    <t>Bê tông sản xuất qua dây chuyền trạm trộn tại hiện trường hoặc thương phẩm, đổ bằng cần cẩu, bê tông cột, đá 1x2, tiết diện cột &lt;=0,1 m2, mác 250</t>
  </si>
  <si>
    <t>C2224~Vữa XMPCB30, cát vàng, đá 1x2   M250~m3~1.025~1.025~716454~1100000~0~1~1~0~1210000~Vua~(Áp theo Thông báo giá VL số : 02/2018/CBGVL-LS của UBND Thành phố Hà Nội ngày 01/06/2018)žA.1763~Gỗ ván cầu công tác~m3~0.02~0.02~2000000~2000000~0~1~1~0~2200000~GoVan~žA.1451~Đinh~kg~0.048~0.048~19000~20000~0~1~1~0~20900~Dinh~žA.1454~Đinh đỉa~cái~0.352~0.352~3000~3000~0~1~1~0~3300~DinhDia~žZ999~Vật liệu khác~%~1~1~7763.3335~11695.16~0~1~1~0~0~VatLieuKhac~</t>
  </si>
  <si>
    <t>N.0010~Nhân công bậc 3,5/7 - Nhóm I~công~3.81~3.81~216523~224158~0~1~1~0~0~N1.35~</t>
  </si>
  <si>
    <t>M.0056~Cần trục bánh xích 10T~ca~0.09~0.09~1834515~1929643~503539~1~1~0~0~M197~žM.0110~Máy đầm dùi 1,5kW~ca~0.18~0.18~230940~237717~212508~1~1~0~0~M310~žM999~Máy khác~%~2~2~2066.7555~2164.5693~0~1~1~0~0~~</t>
  </si>
  <si>
    <t>DẦM, SÀN</t>
  </si>
  <si>
    <t>AF.89132</t>
  </si>
  <si>
    <t>Ván khuôn bằng ván ép phủ phim có khung xương,cột chống bằng hệ giáo ống . Ván khuôn xà dầm,giằng, chiều cao &lt;=50m (Theo Định mức 1172/QĐ-BXD)</t>
  </si>
  <si>
    <t>A.3511~Ván ép phủ phim~m2~15~15~0~200000~0~1~1~0~220000~VanEp~žA.1841~Khung xương (nhôm)~kg~15.05~15.05~0~69000~0~1~1~0~0~KhungXuongNhom~žA.0884~Cột chống thép ống~kg~40~40~16190~16190~0~1~1~0~17809~CotChongThepOng~žZ999~Vật liệu khác~%~5~5~6476~46860.5~0~1~1~0~0~VatLieuKhac~</t>
  </si>
  <si>
    <t>N.0012~Nhân công bậc 4,0/7 - Nhóm I~công~23.64~23.64~233923~242718~0~1~1~0~0~N1.40~</t>
  </si>
  <si>
    <t>Thành dầm</t>
  </si>
  <si>
    <t>Dầm tầng 2</t>
  </si>
  <si>
    <t>T2-D1:</t>
  </si>
  <si>
    <t>T2-D2:</t>
  </si>
  <si>
    <t>T2-D2A:</t>
  </si>
  <si>
    <t>T2-D3:</t>
  </si>
  <si>
    <t>T2-D4:</t>
  </si>
  <si>
    <t>T2-D5:</t>
  </si>
  <si>
    <t>T2-D6:</t>
  </si>
  <si>
    <t>T2-D7:</t>
  </si>
  <si>
    <t>Dầm tầng 3,4</t>
  </si>
  <si>
    <t>T3,4-D1:</t>
  </si>
  <si>
    <t>T3,4-D2:</t>
  </si>
  <si>
    <t>T3,4-D2A:</t>
  </si>
  <si>
    <t>T3,4-D3:</t>
  </si>
  <si>
    <t>T3,4-D4:</t>
  </si>
  <si>
    <t>T3,4-D5:</t>
  </si>
  <si>
    <t>T3,4-D6:</t>
  </si>
  <si>
    <t>T3,4-D7:</t>
  </si>
  <si>
    <t>T3,4-D8:</t>
  </si>
  <si>
    <t>T3,4-D9:</t>
  </si>
  <si>
    <t>Dầm tầng 5</t>
  </si>
  <si>
    <t>T5-D1:</t>
  </si>
  <si>
    <t>T5-D2:</t>
  </si>
  <si>
    <t>T5-D3:</t>
  </si>
  <si>
    <t>T5-D4:</t>
  </si>
  <si>
    <t>T5-D5:</t>
  </si>
  <si>
    <t>T5-D6:</t>
  </si>
  <si>
    <t>Dầm tầng mái</t>
  </si>
  <si>
    <t>TM-D1:</t>
  </si>
  <si>
    <t>TM-D2:</t>
  </si>
  <si>
    <t>Đáy dầm</t>
  </si>
  <si>
    <t>AF.89112</t>
  </si>
  <si>
    <t>Ván khuôn bằng ván ép phủ phim có khung xương,cột chống bằng hệ giáo ống . Ván khuôn sàn mái, chiều cao &lt;=50m (Theo Định mức 1172/QĐ-BXD)</t>
  </si>
  <si>
    <t>A.3511~Ván ép phủ phim~m2~15~15~0~200000~0~1~1~0~220000~VanEp~žA.1841~Khung xương (nhôm)~kg~12~12~0~69000~0~1~1~0~0~KhungXuongNhom~žA.0884~Cột chống thép ống~kg~36.5~36.5~16190~16190~0~1~1~0~17809~CotChongThepOng~žZ999~Vật liệu khác~%~5~5~5909.35~44189.35~0~1~1~0~0~VatLieuKhac~</t>
  </si>
  <si>
    <t>N.0014~Nhân công bậc 4,5/7 - Nhóm I~công~21.5~21.5~254446~264611~0~1~1~0~0~N1.45~</t>
  </si>
  <si>
    <t>Sàn tầng 2</t>
  </si>
  <si>
    <t>Sàn dày 100</t>
  </si>
  <si>
    <t>Sàn dày 120</t>
  </si>
  <si>
    <t>Trừ lỗ cầu thang</t>
  </si>
  <si>
    <t>Bo sàn</t>
  </si>
  <si>
    <t>Bo lỗ cầu thang</t>
  </si>
  <si>
    <t>Sàn tầng 3</t>
  </si>
  <si>
    <t>Sàn tầng 4</t>
  </si>
  <si>
    <t>Sàn tầng 5</t>
  </si>
  <si>
    <t>Sàn tầng mái</t>
  </si>
  <si>
    <t>Trừ lỗ trống</t>
  </si>
  <si>
    <t>TRỪ ĐÁY DẦM</t>
  </si>
  <si>
    <t>AF.89122</t>
  </si>
  <si>
    <t>Ván khuôn bằng ván ép phủ phim có khung xương,cột chống bằng hệ giáo ống . Ván khuôn tường, chiều cao &lt;=50m (Theo Định mức 1172/QĐ-BXD) - Mái dốc</t>
  </si>
  <si>
    <t>A.3511~Ván ép phủ phim~m2~10.5~10.5~0~200000~0~1~1~0~220000~VanEp~žA.1841~Khung xương (nhôm)~kg~12.65~12.65~0~69000~0~1~1~0~0~KhungXuongNhom~žA.0884~Cột chống thép ống~kg~38.5~38.5~16190~16190~0~1~1~0~17809~CotChongThepOng~žZ999~Vật liệu khác~%~5~5~6233.15~35961.65~0~1~1~0~0~VatLieuKhac~</t>
  </si>
  <si>
    <t>N.0012~Nhân công bậc 4,0/7 - Nhóm I~công~22.5~22.5~233923~242718~0~1~1~0~0~N1.40~</t>
  </si>
  <si>
    <t>Sàn mái dốc</t>
  </si>
  <si>
    <t>Chi tiết 1</t>
  </si>
  <si>
    <t>Mặt cắt 3-3</t>
  </si>
  <si>
    <t>Mặt cắt 2-2</t>
  </si>
  <si>
    <t>Mặt cắt 1-1</t>
  </si>
  <si>
    <t>AF.61513</t>
  </si>
  <si>
    <t>Công tác sản xuất lắp dựng cốt thép bê tông tại chỗ, cốt thép xà dầm, giằng, đường kính &lt;=10 mm, ở độ cao &lt;=50 m</t>
  </si>
  <si>
    <t>N.0010~Nhân công bậc 3,5/7 - Nhóm I~công~18.23~18.23~216523~224158~0~1~1~0~0~N1.35~</t>
  </si>
  <si>
    <t>T2-D1 : 2*(7,9+7,6)/1000 = 0,031</t>
  </si>
  <si>
    <t>T2-D2 : 1,6/1000 = 0,0016</t>
  </si>
  <si>
    <t>T2-D2A : 0,7/1000 = 0,0007</t>
  </si>
  <si>
    <t>T2-D3 : 4/1000 = 0,004</t>
  </si>
  <si>
    <t>T2-D4 : 2*2,3/1000 = 0,0046</t>
  </si>
  <si>
    <t>T2-D5 : 4*7,6/1000 = 0,0304</t>
  </si>
  <si>
    <t>T2-D6 : 1,8/1000 = 0,0018</t>
  </si>
  <si>
    <t>T2-D7 : 7,1/1000 = 0,0071</t>
  </si>
  <si>
    <t>T3,4-D1 : 4*(7,9+7,6)/1000 = 0,062</t>
  </si>
  <si>
    <t>T3,4-D2 : 2*1,6/1000 = 0,0032</t>
  </si>
  <si>
    <t>T3,4-D2A : 2*0,7/1000 = 0,0014</t>
  </si>
  <si>
    <t>T3,4-D3 : 2*4/1000 = 0,008</t>
  </si>
  <si>
    <t>T3,4-D4 : 4*1,7/1000 = 0,0068</t>
  </si>
  <si>
    <t>T3,4-D5 : 6*7,6/1000 = 0,0456</t>
  </si>
  <si>
    <t>T3,4-D6 : 2*8,6/1000 = 0,0172</t>
  </si>
  <si>
    <t>T3,4-D7 : 2*0,7/1000 = 0,0014</t>
  </si>
  <si>
    <t>T3,4-D8 : 2*1,4/1000 = 0,0028</t>
  </si>
  <si>
    <t>T3,4-D9 : 2*2,9/1000 = 0,0058</t>
  </si>
  <si>
    <t>T5-D1 : 2*(7,9+7,6)/1000 = 0,031</t>
  </si>
  <si>
    <t>T5-D2 : 2*1,9/1000 = 0,0038</t>
  </si>
  <si>
    <t>T5-D3 : 4/1000 = 0,004</t>
  </si>
  <si>
    <t>T5-D4 : 3,1/1000 = 0,0031</t>
  </si>
  <si>
    <t>T5-D5 : 3*7,6/1000 = 0,0228</t>
  </si>
  <si>
    <t>T5-D6 : 8,62/1000 = 0,0086</t>
  </si>
  <si>
    <t>TM-D1 : 2*18,9/1000 = 0,0378</t>
  </si>
  <si>
    <t>TM-D2 : 4*8,6/1000 = 0,0344</t>
  </si>
  <si>
    <t>AF.61523</t>
  </si>
  <si>
    <t>Công tác sản xuất lắp dựng cốt thép bê tông tại chỗ, cốt thép xà dầm, giằng, đường kính &lt;=18 mm,  ở độ cao &lt;=50 m</t>
  </si>
  <si>
    <t>A.2935~Thép tròn D&lt;=18mm~kg~1020~1020~15718~13300~0~1~1~0~17289.8~ThepTron&lt;=18~žA.1275~Dây thép~kg~14.28~14.28~19000~20000~0~1~1~0~20900~DayThep~žA.2608~Que hàn~kg~4.7~4.7~18600~19800~0~1~1~0~20460~QueHan~</t>
  </si>
  <si>
    <t>N.0010~Nhân công bậc 3,5/7 - Nhóm I~công~11.45~11.45~216523~224158~0~1~1~0~0~N1.35~</t>
  </si>
  <si>
    <t>M.0159~Máy hàn 23 KW~ca~1.133~1.133~328420~361135~248200~1~1~0~0~M423~žM.0146~Máy cắt uốn cắt thép 5kW~ca~0.32~0.32~236812~240449~212508~1~1~0~0~M454~žM.0330~Vận thăng lồng 3T~ca~0.025~0.025~594337~740827~212508~1~1~0~0~M578~žM.0065~Cẩu tháp 25T~ca~0.025~0.025~2037169~2882825~552616~1~1~0~0~M215~žM999~Máy khác~%~2~2~5136.6735~5767.00935~0~1~1~0~0~~</t>
  </si>
  <si>
    <t>T2-D1 : 2*(22+17,9+41,5+4,2)/1000 = 0,1712</t>
  </si>
  <si>
    <t>T2-D2 : 12,5/1000 = 0,0125</t>
  </si>
  <si>
    <t>T2-D2A : 5,5/1000 = 0,0055</t>
  </si>
  <si>
    <t>T2-D3 : (8,4+10,3)/1000 = 0,0187</t>
  </si>
  <si>
    <t>T2-D4 : 2*(4,5+6,8)/1000 = 0,0226</t>
  </si>
  <si>
    <t>T2-D5 : 4*(19,8+17,8)/1000 = 0,1504</t>
  </si>
  <si>
    <t>T2-D6 : (15,6)/1000 = 0,0156</t>
  </si>
  <si>
    <t>T2-D7 : (12,8+15)/1000 = 0,0278</t>
  </si>
  <si>
    <t>T3,4-D1 : 4*(22+17,9+41,5+4,2)/1000 = 0,3424</t>
  </si>
  <si>
    <t>T3,4-D2 : 2*12,5/1000 = 0,025</t>
  </si>
  <si>
    <t>T3,4-D2A : 2*5,5/1000 = 0,011</t>
  </si>
  <si>
    <t>T3,4-D3 : 2*(8,4+10,3)/1000 = 0,0374</t>
  </si>
  <si>
    <t>T3,4-D4 : 4*(3,3+4,9)/1000 = 0,0328</t>
  </si>
  <si>
    <t>T3,4-D5 : 6*(19,8+17,8)/1000 = 0,2256</t>
  </si>
  <si>
    <t>T3,4-D6 : 2*(15,6+17,8)/1000 = 0,0668</t>
  </si>
  <si>
    <t>T3,4-D7 : 2*5,3/1000 = 0,0106</t>
  </si>
  <si>
    <t>T3,4-D8 : 2*10,7/1000 = 0,0214</t>
  </si>
  <si>
    <t>T3,4-D9 : 2*(6+7,6)/1000 = 0,0272</t>
  </si>
  <si>
    <t>T5-D1 : 2*(22+17,9+41,5+4,2)/1000 = 0,1712</t>
  </si>
  <si>
    <t>T5-D2 : 2*(3,8+5,7)/1000 = 0,019</t>
  </si>
  <si>
    <t>T5-D3 : (8,4+10,3)/1000 = 0,0187</t>
  </si>
  <si>
    <t>T5-D4 : (6,6+8,2)/1000 = 0,0148</t>
  </si>
  <si>
    <t>T5-D5 : 3*(19,8+17,8)/1000 = 0,1128</t>
  </si>
  <si>
    <t>T5-D6 : (15,6+17,8)/1000 = 0,0334</t>
  </si>
  <si>
    <t>TM-D1 : 2*(34,2+36,6)/1000 = 0,1416</t>
  </si>
  <si>
    <t>TM-D2 : 4*(15,6+18)/1000 = 0,1344</t>
  </si>
  <si>
    <t>AF.61533</t>
  </si>
  <si>
    <t>Công tác sản xuất lắp dựng cốt thép bê tông tại chỗ, cốt thép xà dầm, giằng, đường kính &gt;18 mm, ở độ cao &lt;=50 m</t>
  </si>
  <si>
    <t>A.2939~Thép tròn D&gt;18mm~kg~1020~1020~15718~13300~0~1~1~0~17289.8~ThepTron&gt;18~žA.1275~Dây thép~kg~14.28~14.28~19000~20000~0~1~1~0~20900~DayThep~žA.2608~Que hàn~kg~6.04~6.04~18600~19800~0~1~1~0~20460~QueHan~</t>
  </si>
  <si>
    <t>N.0010~Nhân công bậc 3,5/7 - Nhóm I~công~10.1~10.1~216523~224158~0~1~1~0~0~N1.35~</t>
  </si>
  <si>
    <t>M.0159~Máy hàn 23 KW~ca~1.456~1.456~328420~361135~248200~1~1~0~0~M423~žM.0146~Máy cắt uốn cắt thép 5kW~ca~0.16~0.16~236812~240449~212508~1~1~0~0~M454~žM.0330~Vận thăng lồng 3T~ca~0.022~0.022~594337~740827~212508~1~1~0~0~M578~žM.0065~Cẩu tháp 25T~ca~0.022~0.022~2037169~2882825~552616~1~1~0~0~M215~žM999~Máy khác~%~2~2~5739.62572~6440.04744~0~1~1~0~0~~</t>
  </si>
  <si>
    <t>AF.61712</t>
  </si>
  <si>
    <t>Công tác sản xuất lắp dựng cốt thép bê tông tại chỗ, cốt thép sàn mái, cao &lt;=50 m, đường kính &lt;=10 mm</t>
  </si>
  <si>
    <t>N.0010~Nhân công bậc 3,5/7 - Nhóm I~công~16.1~16.1~216523~224158~0~1~1~0~0~N1.35~</t>
  </si>
  <si>
    <t>M.0146~Máy cắt uốn cắt thép 5kW~ca~0.4~0.4~236812~240449~212508~1~1~0~0~M454~žM.0330~Vận thăng lồng 3T~ca~0.035~0.035~594337~740827~212508~1~1~0~0~M578~žM.0065~Cẩu tháp 25T~ca~0.035~0.035~2037169~2882825~552616~1~1~0~0~M215~žM999~Máy khác~%~2~2~1868.2751~2230.0742~0~1~1~0~0~~</t>
  </si>
  <si>
    <t xml:space="preserve">Sàn tầng 2: </t>
  </si>
  <si>
    <t>(49+41,7+53,2+128,4+12,9+18,2+17,3+65,7+88,8+20+3,6)/1000 = 0,4988</t>
  </si>
  <si>
    <t>Sàn tầng 3,4</t>
  </si>
  <si>
    <t>(52,4+41,7+58,4+137,6+12,9+5,2+4,7+65,7+107,3+6+4,1)/1000*2 = 0,992</t>
  </si>
  <si>
    <t>(52,4+41,7+58,4+137,6+12,9+6,8+6,5+65,7+107,3+7,7+8,8+4)/1000 = 0,5098</t>
  </si>
  <si>
    <t>(130,8+116,2+52,9+47,7+72,5)/1000 = 0,4201</t>
  </si>
  <si>
    <t>AF.61313</t>
  </si>
  <si>
    <t>Công tác sản xuất lắp dựng cốt thép bê tông tại chỗ, cốt thép tường, đường kính &lt;=10 mm, tường cao &lt;= 50 m - Mái dốc</t>
  </si>
  <si>
    <t>N.0010~Nhân công bậc 3,5/7 - Nhóm I~công~15.53~15.53~216523~224158~0~1~1~0~0~N1.35~</t>
  </si>
  <si>
    <t>M.0146~Máy cắt uốn cắt thép 5kW~ca~0.4~0.4~236812~240449~212508~1~1~0~0~M454~žM.0330~Vận thăng lồng 3T~ca~0.028~0.028~594337~740827~212508~1~1~0~0~M578~žM.0065~Cẩu tháp 25T~ca~0.028~0.028~2037169~2882825~552616~1~1~0~0~M215~žM999~Máy khác~%~2~2~1684.06968~1976.41856~0~1~1~0~0~~</t>
  </si>
  <si>
    <t>Sàn mái vát</t>
  </si>
  <si>
    <t>(67,3+12,2+68,4+1,3+15,9+15,5+14,4+1,7+20,13+15,2)/1000 = 0,232</t>
  </si>
  <si>
    <t>AF.61323</t>
  </si>
  <si>
    <t>Công tác sản xuất lắp dựng cốt thép bê tông tại chỗ, cốt thép tường, đường kính &lt;=18 mm, tường cao &lt;= 50 m - Mái dốc</t>
  </si>
  <si>
    <t>N.0010~Nhân công bậc 3,5/7 - Nhóm I~công~13.42~13.42~216523~224158~0~1~1~0~0~N1.35~</t>
  </si>
  <si>
    <t>M.0159~Máy hàn 23 KW~ca~1.12~1.12~328420~361135~248200~1~1~0~0~M423~žM.0146~Máy cắt uốn cắt thép 5kW~ca~0.32~0.32~236812~240449~212508~1~1~0~0~M454~žM.0330~Vận thăng lồng 3T~ca~0.025~0.025~594337~740827~212508~1~1~0~0~M578~žM.0065~Cẩu tháp 25T~ca~0.025~0.025~2037169~2882825~552616~1~1~0~0~M215~žM999~Máy khác~%~2~2~5093.9789~5720.0618~0~1~1~0~0~~</t>
  </si>
  <si>
    <t>6,5/1000 = 0,0065</t>
  </si>
  <si>
    <t>AF.32314</t>
  </si>
  <si>
    <t>Bê tông sản xuất qua dây chuyền trạm trộn tại hiện trường hoặc thương phẩm, đổ bằng bơm bê tông, bê tông xà dầm, giằng, mác 250</t>
  </si>
  <si>
    <t>N.0010~Nhân công bậc 3,5/7 - Nhóm I~công~2.56~2.56~216523~224158~0~1~1~0~0~N1.35~</t>
  </si>
  <si>
    <t>M.0331~Xe bơm BT, tự hành 50m3/h~ca~0.033~0.033~3590501~4019344~574923~1~1~0~0~M295~žM.0110~Máy đầm dùi 1,5kW~ca~0.18~0.18~230940~237717~212508~1~1~0~0~M310~žM999~Máy khác~%~1~1~1600.55733~1754.27412~0~1~1~0~0~~</t>
  </si>
  <si>
    <t>Bê tông sản xuất qua dây chuyền trạm trộn tại hiện trường hoặc thương phẩm, đổ bằng bơm bê tông, bê tông sàn mái, mác 250</t>
  </si>
  <si>
    <t>AF.32124</t>
  </si>
  <si>
    <t>Bê tông sản xuất qua dây chuyền trạm trộn tại hiện trường hoặc thương phẩm, đổ bằng bơm bê tông, bê tông mái dốc, mác 250</t>
  </si>
  <si>
    <t>C2324~Vữa XMPCB30, cát vàng, đá 1x2   M250~m3~1.015~1.015~1133120.6~1100000~0~1~1~0~1210000~Vua~(Áp theo Thông báo giá VL số : 02/2018/CBGVL-LS của UBND Thành phố Hà Nội ngày 01/06/2018)žA.1763~Gỗ ván cầu công tác~m3~0.049~0.049~2000000~2000000~0~1~1~0~2200000~GoVan~žA.1451~Đinh~kg~0.199~0.199~19000~20000~0~1~1~0~20900~Dinh~žA.1454~Đinh đỉa~cái~0.871~0.871~3000~3000~0~1~1~0~3300~DinhDia~žZ999~Vật liệu khác~%~2~2~12545.11409~12210.93~0~1~1~0~0~VatLieuKhac~</t>
  </si>
  <si>
    <t>N.0010~Nhân công bậc 3,5/7 - Nhóm I~công~3.22~3.22~216523~224158~0~1~1~0~0~N1.35~</t>
  </si>
  <si>
    <t>Ván khuôn bằng ván ép phủ phim có khung xương,cột chống bằng hệ giáo ống . Ván khuôn xà dầm,giằng, chiều cao &lt;=50m (Theo Định mức 1172/QĐ-BXD) - Giằng ban công tầng mái</t>
  </si>
  <si>
    <t>GL-1</t>
  </si>
  <si>
    <t>Công tác sản xuất lắp dựng cốt thép bê tông tại chỗ, cốt thép xà dầm, giằng, đường kính &lt;=10 mm, ở độ cao &lt;=50 m - Giằng ban công tầng mái</t>
  </si>
  <si>
    <t>GL-1 : (7,3+1,7)/1000 = 0,009</t>
  </si>
  <si>
    <t>AF.12313</t>
  </si>
  <si>
    <t>C2123</t>
  </si>
  <si>
    <t>Bê tông sản xuất bằng máy trộn - đổ bằng thủ công, bê tông xà dầm, giằng nhà, đá 1x2, mác 200 - Giằng ban công tầng mái</t>
  </si>
  <si>
    <t>A.3172~Xi măng PCB30~kg~350.55~350.55~1045~1140~0~1~1~0~1254~XiMangPCB30~(Áp theo Thông báo giá VL số : 02/2018/CBGVL-LS của UBND Thành phố Hà Nội ngày 01/06/2018)žA.0516~Cát vàng~m3~0.480725~0.480725~189000~258560~0~1~1~0~284416~CatVang~(Áp theo Thông báo giá VL số : 02/2018/CBGVL-LS của UBND Thành phố Hà Nội ngày 01/06/2018)žA.1355~Đá dăm 1x2~m3~0.89995~0.89995~214000~260000~0~1~1~0~286000~Da1x2~(Áp theo Thông báo giá VL số : 02/2018/CBGVL-LS của UBND Thành phố Hà Nội ngày 01/06/2018)žA.2062~Nước (lít)~lít~189.625~189.625~4.5~8~0~1~1~0~4.95~Nuoc(Lit)~žZ999~Vật liệu khác~%~1~1~6506.243875~7594.27256~0~1~1~0~0~VatLieuKhac~</t>
  </si>
  <si>
    <t>GL-1:</t>
  </si>
  <si>
    <t>LANH TÔ</t>
  </si>
  <si>
    <t>AG.31311</t>
  </si>
  <si>
    <t>Sản xuất, lắp dựng, tháo dỡ ván khuôn bê tông đúc sẵn, ván khuôn gỗ, ván khuôn nắp đan, tấm chớp</t>
  </si>
  <si>
    <t>A.1762~Gỗ ván ( cả nẹp)~m3~0.123~0.123~2000000~2000000~0~1~1~0~2200000~GoVan~žA.1451~Đinh~kg~0.16~0.16~19000~20000~0~1~1~0~20900~Dinh~žZ999~Vật liệu khác~%~1~1~2490.4~2492~0~1~1~0~0~VatLieuKhac~</t>
  </si>
  <si>
    <t>N.0007~Nhân công bậc 3,0/7 - Nhóm I~công~25.62~25.62~199123~205597~0~1~1~0~0~N1.30~</t>
  </si>
  <si>
    <t>Tầng 1</t>
  </si>
  <si>
    <t>LT1</t>
  </si>
  <si>
    <t>LT2</t>
  </si>
  <si>
    <t>LT4</t>
  </si>
  <si>
    <t>Tầng 2,3,4</t>
  </si>
  <si>
    <t>LT5</t>
  </si>
  <si>
    <t>LT6</t>
  </si>
  <si>
    <t>LT8</t>
  </si>
  <si>
    <t>OV-1</t>
  </si>
  <si>
    <t>AG.13211</t>
  </si>
  <si>
    <t>Sản xuất, lắp đặt cốt thép bê tông đúc sẵn, cốt thép  lanh tô</t>
  </si>
  <si>
    <t>N.0010~Nhân công bậc 3,5/7 - Nhóm I~công~21.37~21.37~216523~224158~0~1~1~0~0~N1.35~</t>
  </si>
  <si>
    <t>M.0146~Máy cắt uốn cắt thép 5kW~ca~0.48~0.48~236812~240449~212508~1~1~0~0~M454~</t>
  </si>
  <si>
    <t>LT1 : 1,6/1000 = 0,0016</t>
  </si>
  <si>
    <t>LT2 : (28+3,1+2,7)/1000 = 0,0338</t>
  </si>
  <si>
    <t>LT4 : (4+4,5+4,6)/1000 = 0,0131</t>
  </si>
  <si>
    <t>LT5 : (7+4,1)/1000 = 0,0111</t>
  </si>
  <si>
    <t>LT6 : (6,9+7,7+6,6)/1000 = 0,0212</t>
  </si>
  <si>
    <t>LT8 : (3,8+2,1)/1000 = 0,0059</t>
  </si>
  <si>
    <t>OV-1 : (1,4+1,7+1,1+1,7+0,3)/1000 = 0,0062</t>
  </si>
  <si>
    <t>AG.11413</t>
  </si>
  <si>
    <t>Sản xuất cấu kiện bê tông đúc sẵn, bê tông lanh tô, đá 1x2, mác 200</t>
  </si>
  <si>
    <t>A.3172~Xi măng PCB30~kg~347.13~347.13~1045~1140~0~1~1~0~1254~XiMangPCB30~(Áp theo Thông báo giá VL số : 02/2018/CBGVL-LS của UBND Thành phố Hà Nội ngày 01/06/2018)žA.0516~Cát vàng~m3~0.476035~0.476035~189000~258560~0~1~1~0~284416~CatVang~(Áp theo Thông báo giá VL số : 02/2018/CBGVL-LS của UBND Thành phố Hà Nội ngày 01/06/2018)žA.1355~Đá dăm 1x2~m3~0.89117~0.89117~214000~260000~0~1~1~0~286000~Da1x2~(Áp theo Thông báo giá VL số : 02/2018/CBGVL-LS của UBND Thành phố Hà Nội ngày 01/06/2018)žA.2062~Nước (lít)~lít~187.775~187.775~4.5~8~0~1~1~0~4.95~Nuoc(Lit)~žZ999~Vật liệu khác~%~0.5~0.5~6442.768325~7520.182096~0~1~1~0~0~VatLieuKhac~</t>
  </si>
  <si>
    <t>N.0007~Nhân công bậc 3,0/7 - Nhóm I~công~2.57~2.57~199123~205597~0~1~1~0~0~N1.30~</t>
  </si>
  <si>
    <t>M.0249~Máy trộn bê tông 250l~ca~0.095~0.095~270051~301306~212508~1~1~0~0~M270~</t>
  </si>
  <si>
    <t>AG.42121</t>
  </si>
  <si>
    <t>B1215</t>
  </si>
  <si>
    <t>Lắp dựng cấu kiện bê tông đúc sẵn, lắp các loại cấu kiện bê tông đúc sẵn bằng thủ công, trọng lượng &lt;= 100 kg</t>
  </si>
  <si>
    <t>cái</t>
  </si>
  <si>
    <t>A.3172~Xi măng PCB30~kg~1.9252~1.9252~1045~1140~0~1~1~0~1254~XiMangPCB30~(Áp theo Thông báo giá VL số : 02/2018/CBGVL-LS của UBND Thành phố Hà Nội ngày 01/06/2018)žA.0516~Cát vàng~m3~0.00545~0.00545~189000~258560~0~1~1~0~284416~CatVang~(Áp theo Thông báo giá VL số : 02/2018/CBGVL-LS của UBND Thành phố Hà Nội ngày 01/06/2018)žA.2062~Nước (lít)~lít~1.3~1.3~4.5~8~0~1~1~0~4.95~Nuoc(Lit)~žZ999~Vật liệu khác~%~10~10~30.47734~36.1428~0~1~1~0~0~VatLieuKhac~</t>
  </si>
  <si>
    <t>N.0012~Nhân công bậc 4,0/7 - Nhóm I~công~0.25~0.25~233923~242718~0~1~1~0~0~N1.40~</t>
  </si>
  <si>
    <t>AG.42131</t>
  </si>
  <si>
    <t>Lắp dựng cấu kiện bê tông đúc sẵn, lắp các loại cấu kiện bê tông đúc sẵn bằng thủ công, trọng lượng &lt;= 250 kg</t>
  </si>
  <si>
    <t>A.3172~Xi măng PCB30~kg~2.69528~2.69528~1045~1140~0~1~1~0~1254~XiMangPCB30~(Áp theo Thông báo giá VL số : 02/2018/CBGVL-LS của UBND Thành phố Hà Nội ngày 01/06/2018)žA.0516~Cát vàng~m3~0.00763~0.00763~189000~258560~0~1~1~0~284416~CatVang~(Áp theo Thông báo giá VL số : 02/2018/CBGVL-LS của UBND Thành phố Hà Nội ngày 01/06/2018)žA.2062~Nước (lít)~lít~1.82~1.82~4.5~8~0~1~1~0~4.95~Nuoc(Lit)~žZ999~Vật liệu khác~%~10~10~42.668276~50.59992~0~1~1~0~0~VatLieuKhac~</t>
  </si>
  <si>
    <t>N.0012~Nhân công bậc 4,0/7 - Nhóm I~công~0.45~0.45~233923~242718~0~1~1~0~0~N1.40~</t>
  </si>
  <si>
    <t>AG.42141</t>
  </si>
  <si>
    <t>Lắp dựng cấu kiện bê tông đúc sẵn, lắp các loại cấu kiện bê tông đúc sẵn bằng thủ công, trọng lượng &gt; 250 kg</t>
  </si>
  <si>
    <t>A.3172~Xi măng PCB30~kg~3.8504~3.8504~1045~1140~0~1~1~0~1254~XiMangPCB30~(Áp theo Thông báo giá VL số : 02/2018/CBGVL-LS của UBND Thành phố Hà Nội ngày 01/06/2018)žA.0516~Cát vàng~m3~0.0109~0.0109~189000~258560~0~1~1~0~284416~CatVang~(Áp theo Thông báo giá VL số : 02/2018/CBGVL-LS của UBND Thành phố Hà Nội ngày 01/06/2018)žA.2062~Nước (lít)~lít~2.6~2.6~4.5~8~0~1~1~0~4.95~Nuoc(Lit)~žZ999~Vật liệu khác~%~10~10~60.95468~72.2856~0~1~1~0~0~VatLieuKhac~</t>
  </si>
  <si>
    <t>N.0012~Nhân công bậc 4,0/7 - Nhóm I~công~0.85~0.85~233923~242718~0~1~1~0~0~N1.40~</t>
  </si>
  <si>
    <t>AF.81152</t>
  </si>
  <si>
    <t>Ván khuôn cho bê tông đổ tại chỗ, ván khuôn gỗ, ván khuôn lanh tô, lanh tô liền mái hắt, máng nước, tấm đan</t>
  </si>
  <si>
    <t>A.1760~Gỗ ván~m3~0.792~0.792~2000000~2000000~0~1~1~0~2200000~GoVan(m3)~žA.1736~Gỗ đà nẹp~m3~0.112~0.112~2000000~2000000~0~1~1~0~2200000~GoDa~žA.1739~Gỗ chống~m3~0.668~0.668~2000000~2000000~0~1~1~0~2200000~GoChong~(Áp theo Thông báo giá VL số : 02/2018/CBGVL-LS của UBND Thành phố Hà Nội ngày 01/06/2018)žA.1451~Đinh~kg~8.05~8.05~19000~20000~0~1~1~0~22000~Dinh~žZ999~Vật liệu khác~%~1~1~32969.5~33050~0~1~1~0~0~VatLieuKhac~</t>
  </si>
  <si>
    <t>N.0012~Nhân công bậc 4,0/7 - Nhóm I~công~28.47~28.47~233923~242718~0~1~1~0~0~N1.40~</t>
  </si>
  <si>
    <t>LT-9</t>
  </si>
  <si>
    <t>AF.61613</t>
  </si>
  <si>
    <t>Công tác sản xuất lắp dựng cốt thép bê tông tại chỗ, cốt thép lanh tô liền mái hắt, máng nước, đường kính &lt;=10 mm, cao &lt;=50 m</t>
  </si>
  <si>
    <t>N.0010~Nhân công bậc 3,5/7 - Nhóm I~công~24.32~24.32~216523~224158~0~1~1~0~0~N1.35~</t>
  </si>
  <si>
    <t>LT9 : (2,4+2,7+1,7)/1000 = 0,0068</t>
  </si>
  <si>
    <t>AF.12513</t>
  </si>
  <si>
    <t>Bê tông sản xuất bằng máy trộn - đổ bằng thủ công, bê tông lanh tô,lanh tô liền mái hắt,máng nước,tấm đan..., đá 1x2, mác 200</t>
  </si>
  <si>
    <t>N.0010~Nhân công bậc 3,5/7 - Nhóm I~công~3.8~3.8~216523~224158~0~1~1~0~0~N1.35~</t>
  </si>
  <si>
    <t>M.0249~Máy trộn bê tông 250l~ca~0.095~0.095~270051~301306~212508~1~1~0~0~M270~žM.0110~Máy đầm dùi 1,5kW~ca~0.089~0.089~230940~237717~212508~1~1~0~0~M310~žM.0255~Máy vận thăng 0,8T~ca~0.11~0.11~343100~393344~212508~1~1~0~0~M239~</t>
  </si>
  <si>
    <t>LT9</t>
  </si>
  <si>
    <t>CẦU THANG</t>
  </si>
  <si>
    <t>AF.81161</t>
  </si>
  <si>
    <t>Ván khuôn cho bê tông đổ tại chỗ, ván khuôn gỗ, cầu thang thường</t>
  </si>
  <si>
    <t>A.1760~Gỗ ván~m3~0.792~0.792~2000000~2000000~0~1~1~0~2200000~GoVan(m3)~žA.1737~Gỗ đà, chống~m3~0.981~0.981~2000000~2000000~0~1~1~0~2200000~GoDa~žA.1451~Đinh~kg~11.45~11.45~19000~20000~0~1~1~0~22000~Dinh~žA.1454~Đinh đỉa~cái~29~29~3000~3000~0~1~1~0~3300~DinhDia~žZ999~Vật liệu khác~%~1~1~38505.5~38620~0~1~1~0~0~VatLieuKhac~</t>
  </si>
  <si>
    <t>N.0012~Nhân công bậc 4,0/7 - Nhóm I~công~45.76~45.76~233923~242718~0~1~1~0~0~N1.40~</t>
  </si>
  <si>
    <t>Tầng 1 lên tầng 2</t>
  </si>
  <si>
    <t>Mặt cắt 1-1:</t>
  </si>
  <si>
    <t>Tầng 2 lên tầng 5</t>
  </si>
  <si>
    <t>AF.61813</t>
  </si>
  <si>
    <t>Công tác sản xuất lắp dựng cốt thép bê tông tại chỗ, cốt thép cầu thang, đường kính &lt;=10 mm, cao &lt;=50 m</t>
  </si>
  <si>
    <t>N.0010~Nhân công bậc 3,5/7 - Nhóm I~công~20.36~20.36~216523~224158~0~1~1~0~0~N1.35~</t>
  </si>
  <si>
    <t>Tầng 1 lên tầng 2 : (41+21,6+6,8)/1000 = 0,0694</t>
  </si>
  <si>
    <t>Tầng 2 lên tầng 5 : 3*(41+21,6+6,8)/1000 = 0,2082</t>
  </si>
  <si>
    <t>Bê tông sản xuất qua dây chuyền trạm trộn tại hiện trường hoặc thương phẩm, đổ bằng bơm bê tông, bê tông cầu thang, mác 250</t>
  </si>
  <si>
    <t>AF.52162</t>
  </si>
  <si>
    <t>Vận chuyển vữa bê tông bằng ôtô chuyển trộn, cự ly &lt;=4.0km, ôtô 10.7m3</t>
  </si>
  <si>
    <t>M.0008~Ô tô chuyển trộn 10,7m3~ca~3.92~3.92~3535441~3878019~574923~1~1~0~0~M132~</t>
  </si>
  <si>
    <t>AF.52172</t>
  </si>
  <si>
    <t>Vận chuyển vữa bê tông bằng ôtô chuyển trộn, 1km tiếp theo ngoài phạm vi 4km, ôtô 10.7m3</t>
  </si>
  <si>
    <t>M.0008~Ô tô chuyển trộn 10,7m3~ca~0.334~0.334~3535441~3878019~574923~1~1~0~0~M132~</t>
  </si>
  <si>
    <t>TỔNG CỘNG : HẠNG MỤC: MẪU M20 -KẾT CẤU PHẦN THÂN</t>
  </si>
  <si>
    <t>BẢNG GIÁ THÔNG BÁO CÔNG TRÌNH</t>
  </si>
  <si>
    <t>Tên vật tư</t>
  </si>
  <si>
    <t>Giá gốc</t>
  </si>
  <si>
    <t>Giá tháng</t>
  </si>
  <si>
    <t>Chính</t>
  </si>
  <si>
    <t>Giá sau VAT</t>
  </si>
  <si>
    <t>Mã chuẩn</t>
  </si>
  <si>
    <t>Ghi chú, Nguồn gốc xuất xứ</t>
  </si>
  <si>
    <t>I.)</t>
  </si>
  <si>
    <t>VẬT LIỆU</t>
  </si>
  <si>
    <t>A.0506</t>
  </si>
  <si>
    <t>Cát đen</t>
  </si>
  <si>
    <t>CatDen</t>
  </si>
  <si>
    <t>(Áp theo Thông báo giá VL số : 02/2018/CBGVL-LS của UBND Thành phố Hà Nội ngày 01/06/2018)</t>
  </si>
  <si>
    <t>A.0511</t>
  </si>
  <si>
    <t>Cát mịn ML=1,5-2,0</t>
  </si>
  <si>
    <t>CatMin</t>
  </si>
  <si>
    <t>A.0516</t>
  </si>
  <si>
    <t>Cát vàng</t>
  </si>
  <si>
    <t>CatVang</t>
  </si>
  <si>
    <t>A.0884</t>
  </si>
  <si>
    <t>Cột chống thép ống</t>
  </si>
  <si>
    <t>kg</t>
  </si>
  <si>
    <t>CotChongThepOng</t>
  </si>
  <si>
    <t/>
  </si>
  <si>
    <t>A.1275</t>
  </si>
  <si>
    <t>Dây thép</t>
  </si>
  <si>
    <t>DayThep</t>
  </si>
  <si>
    <t>00312</t>
  </si>
  <si>
    <t>Đá cắt bê tông</t>
  </si>
  <si>
    <t>viên</t>
  </si>
  <si>
    <t>A.1355</t>
  </si>
  <si>
    <t>Đá dăm 1x2</t>
  </si>
  <si>
    <t>Da1x2</t>
  </si>
  <si>
    <t>A.1357</t>
  </si>
  <si>
    <t>Đá dăm 4x6</t>
  </si>
  <si>
    <t>Da4x6</t>
  </si>
  <si>
    <t>00375</t>
  </si>
  <si>
    <t>Đá mài</t>
  </si>
  <si>
    <t>DaMai</t>
  </si>
  <si>
    <t>A.1451</t>
  </si>
  <si>
    <t>Đinh</t>
  </si>
  <si>
    <t>Dinh</t>
  </si>
  <si>
    <t>A.1454</t>
  </si>
  <si>
    <t>Đinh đỉa</t>
  </si>
  <si>
    <t>DinhDia</t>
  </si>
  <si>
    <t>A.1557</t>
  </si>
  <si>
    <t>Gạch chỉ 6,5x10,5x22</t>
  </si>
  <si>
    <t>GachChi</t>
  </si>
  <si>
    <t>http://gachviet.com.vn/gia-gach-do-gach-tuynel-tai-ha-noi-va-mot-so-tinh-mien-bac.html</t>
  </si>
  <si>
    <t>A.1739</t>
  </si>
  <si>
    <t>Gỗ chống</t>
  </si>
  <si>
    <t>GoChong</t>
  </si>
  <si>
    <t>A.1736</t>
  </si>
  <si>
    <t>Gỗ đà nẹp</t>
  </si>
  <si>
    <t>GoDa</t>
  </si>
  <si>
    <t>A.1737</t>
  </si>
  <si>
    <t>Gỗ đà, chống</t>
  </si>
  <si>
    <t>A.1760</t>
  </si>
  <si>
    <t>Gỗ ván</t>
  </si>
  <si>
    <t>GoVan(m3)</t>
  </si>
  <si>
    <t>A.1762</t>
  </si>
  <si>
    <t>Gỗ ván ( cả nẹp)</t>
  </si>
  <si>
    <t>GoVan</t>
  </si>
  <si>
    <t>A.1763</t>
  </si>
  <si>
    <t>Gỗ ván cầu công tác</t>
  </si>
  <si>
    <t>A.1841</t>
  </si>
  <si>
    <t>Khung xương (nhôm)</t>
  </si>
  <si>
    <t>KhungXuongNhom</t>
  </si>
  <si>
    <t>A.2062</t>
  </si>
  <si>
    <t>Nước (lít)</t>
  </si>
  <si>
    <t>lít</t>
  </si>
  <si>
    <t>Nuoc(Lit)</t>
  </si>
  <si>
    <t>A.2608</t>
  </si>
  <si>
    <t>Que hàn</t>
  </si>
  <si>
    <t>QueHan</t>
  </si>
  <si>
    <t>A.2933</t>
  </si>
  <si>
    <t>Thép tròn d&lt;=10mm</t>
  </si>
  <si>
    <t>ThepTron&lt;=10</t>
  </si>
  <si>
    <t>A.2935</t>
  </si>
  <si>
    <t>Thép tròn D&lt;=18mm</t>
  </si>
  <si>
    <t>ThepTron&lt;=18</t>
  </si>
  <si>
    <t>A.2939</t>
  </si>
  <si>
    <t>Thép tròn D&gt;18mm</t>
  </si>
  <si>
    <t>ThepTron&gt;18</t>
  </si>
  <si>
    <t>A.3511</t>
  </si>
  <si>
    <t>Ván ép phủ phim</t>
  </si>
  <si>
    <t>m2</t>
  </si>
  <si>
    <t>VanEp</t>
  </si>
  <si>
    <t>Vữa XMPCB30, cát vàng, đá 1x2   M250</t>
  </si>
  <si>
    <t>Vua</t>
  </si>
  <si>
    <t>A.3172</t>
  </si>
  <si>
    <t>Xi măng PCB30</t>
  </si>
  <si>
    <t>XiMangPCB30</t>
  </si>
  <si>
    <t>II.)</t>
  </si>
  <si>
    <t>NHÂN CÔNG</t>
  </si>
  <si>
    <t>N.0007</t>
  </si>
  <si>
    <t>Nhân công bậc 3,0/7 - Nhóm I</t>
  </si>
  <si>
    <t>công</t>
  </si>
  <si>
    <t>N1.30</t>
  </si>
  <si>
    <t>N.0010</t>
  </si>
  <si>
    <t>Nhân công bậc 3,5/7 - Nhóm I</t>
  </si>
  <si>
    <t>N1.35</t>
  </si>
  <si>
    <t>N0097</t>
  </si>
  <si>
    <t>Nhân công bậc 3,7/7 (A.1.8 nhóm 1)</t>
  </si>
  <si>
    <t>N1.37</t>
  </si>
  <si>
    <t>N.0012</t>
  </si>
  <si>
    <t>Nhân công bậc 4,0/7 - Nhóm I</t>
  </si>
  <si>
    <t>N1.40</t>
  </si>
  <si>
    <t>N.0014</t>
  </si>
  <si>
    <t>Nhân công bậc 4,5/7 - Nhóm I</t>
  </si>
  <si>
    <t>N1.45</t>
  </si>
  <si>
    <t>III.)</t>
  </si>
  <si>
    <t>MÁY THI CÔNG</t>
  </si>
  <si>
    <t>M.0056</t>
  </si>
  <si>
    <t>Cần trục bánh xích 10T</t>
  </si>
  <si>
    <t>ca</t>
  </si>
  <si>
    <t>M197</t>
  </si>
  <si>
    <t>M.0065</t>
  </si>
  <si>
    <t>Cẩu tháp 25T</t>
  </si>
  <si>
    <t>M215</t>
  </si>
  <si>
    <t>M0666</t>
  </si>
  <si>
    <t>Máy cắt bê tông 1,5Kw</t>
  </si>
  <si>
    <t>Ca</t>
  </si>
  <si>
    <t>M446</t>
  </si>
  <si>
    <t>M.0146</t>
  </si>
  <si>
    <t>Máy cắt uốn cắt thép 5kW</t>
  </si>
  <si>
    <t>M454</t>
  </si>
  <si>
    <t>M.0088</t>
  </si>
  <si>
    <t>Máy đào 0,8m3</t>
  </si>
  <si>
    <t>M6</t>
  </si>
  <si>
    <t>M.0108</t>
  </si>
  <si>
    <t>Máy đầm bàn 1kW</t>
  </si>
  <si>
    <t>M305</t>
  </si>
  <si>
    <t>M.0109</t>
  </si>
  <si>
    <t>Máy đầm cóc</t>
  </si>
  <si>
    <t>M70</t>
  </si>
  <si>
    <t>M.0110</t>
  </si>
  <si>
    <t>Máy đầm dùi 1,5kW</t>
  </si>
  <si>
    <t>M310</t>
  </si>
  <si>
    <t>M.0159</t>
  </si>
  <si>
    <t>Máy hàn 23 KW</t>
  </si>
  <si>
    <t>M423</t>
  </si>
  <si>
    <t>M0947</t>
  </si>
  <si>
    <t>Máy mài 1Kw</t>
  </si>
  <si>
    <t>M457</t>
  </si>
  <si>
    <t>M.0249</t>
  </si>
  <si>
    <t>Máy trộn bê tông 250l</t>
  </si>
  <si>
    <t>M270</t>
  </si>
  <si>
    <t>M.0255</t>
  </si>
  <si>
    <t>Máy vận thăng 0,8T</t>
  </si>
  <si>
    <t>M239</t>
  </si>
  <si>
    <t>M.0008</t>
  </si>
  <si>
    <t>Ô tô chuyển trộn 10,7m3</t>
  </si>
  <si>
    <t>M132</t>
  </si>
  <si>
    <t>M.0018</t>
  </si>
  <si>
    <t>Ô tô tự đổ 10T</t>
  </si>
  <si>
    <t>M111</t>
  </si>
  <si>
    <t>M.0328</t>
  </si>
  <si>
    <t>Vận thăng 0,8T</t>
  </si>
  <si>
    <t>M.0330</t>
  </si>
  <si>
    <t>Vận thăng lồng 3T</t>
  </si>
  <si>
    <t>M578</t>
  </si>
  <si>
    <t>M.0330A</t>
  </si>
  <si>
    <t>M.0331</t>
  </si>
  <si>
    <t>Xe bơm BT, tự hành 50m3/h</t>
  </si>
  <si>
    <t>M295</t>
  </si>
  <si>
    <t>DỮ LIỆU ĐẦU VÀO TÍNH NHÂN CÔNG, CA MÁY</t>
  </si>
  <si>
    <t>BẢNG 1.  MỨC LƯƠNG, SỐ NGÀY LÀM VIỆC</t>
  </si>
  <si>
    <t>Tên, loại dữ liệu</t>
  </si>
  <si>
    <t>Giá trị</t>
  </si>
  <si>
    <t>Mức lương tối thiểu chung   ( đồng/tháng )</t>
  </si>
  <si>
    <t>Mức lương đầu vào ( LNC ) ( đồng/tháng )</t>
  </si>
  <si>
    <t>Số ngày làm việc                  ( ngày/tháng )</t>
  </si>
  <si>
    <t>BẢNG 2.  TỶ LỆ CÁC KHOẢN PHỤ CẤP</t>
  </si>
  <si>
    <t>Loại phụ cấp</t>
  </si>
  <si>
    <t>Tỷ lệ</t>
  </si>
  <si>
    <t>Phụ cấp lưu động</t>
  </si>
  <si>
    <t>Không ổn định sản xuất</t>
  </si>
  <si>
    <t>Lương phụ nghỉ lễ, tết hoặc nghỉ phép ...</t>
  </si>
  <si>
    <t>Chi phí có thể khoán trực tiếp cho người lao động</t>
  </si>
  <si>
    <t>Phụ cấp khu vực</t>
  </si>
  <si>
    <t>Phụ cấp độc hại</t>
  </si>
  <si>
    <t>Phụ cấp thu hút</t>
  </si>
  <si>
    <t>Phụ cấp trách nhiệm</t>
  </si>
  <si>
    <t>Phụ cấp bảo hiểm</t>
  </si>
  <si>
    <t>Phụ cấp vùng sâu, vùng xa, khó khăn, đắt đỏ</t>
  </si>
  <si>
    <t>BẢNG 3.  ĐƠN GIÁ NHIÊN LIỆU, ĐIỆN ( TRƯỚC THUẾ VAT )</t>
  </si>
  <si>
    <t>Loại nhiên liệu, năng lượng</t>
  </si>
  <si>
    <t>Đơn giá (đ)</t>
  </si>
  <si>
    <t>Diezel</t>
  </si>
  <si>
    <t>Lít</t>
  </si>
  <si>
    <t>https://www.petrolimex.com.vn/nd/thong-cao-bao-chi.html</t>
  </si>
  <si>
    <t>Mazut</t>
  </si>
  <si>
    <t>Điện</t>
  </si>
  <si>
    <t>kwh</t>
  </si>
  <si>
    <t>http://www.evn.com.vn/d6/news/Quyet-dinh-4495QD-BTC-quy-dinh-ve-gia-ban-dien-tu-ngay-1122017-9-130-20990.aspx</t>
  </si>
  <si>
    <t>Xăng A92</t>
  </si>
  <si>
    <t>BẢNG 4.  HỆ SỐ NHIÊN LIỆU PHỤ</t>
  </si>
  <si>
    <t>Loại động cơ</t>
  </si>
  <si>
    <t>Động cơ Diezel</t>
  </si>
  <si>
    <t>Động cơ Mazut</t>
  </si>
  <si>
    <t>Động cơ Điện</t>
  </si>
  <si>
    <t>Động cơ Xăng</t>
  </si>
  <si>
    <t>BẢNG 5.  THU HỒI KHI THANH LÝ</t>
  </si>
  <si>
    <t>Thu hồi thanh lý khi nguyên giá từ (triệu đồng)</t>
  </si>
  <si>
    <t>Tỷ lệ thu hồi khi thanh lý</t>
  </si>
  <si>
    <t>BẢNG 6.  LÀM TRÒN SỐ HỌC</t>
  </si>
  <si>
    <t>Đối tượng làm tròn</t>
  </si>
  <si>
    <t>Làm tròn</t>
  </si>
  <si>
    <t>Giá</t>
  </si>
  <si>
    <t>Tổng đơn giá</t>
  </si>
  <si>
    <t>Hệ số lương</t>
  </si>
  <si>
    <t>BẢNG 7.  CÁC KÝ HIỆU VIẾT TẮT</t>
  </si>
  <si>
    <t>Ý nghĩa ký hiệu viết tắt</t>
  </si>
  <si>
    <t>Ký hiệu</t>
  </si>
  <si>
    <t>Mức lương đầu vào</t>
  </si>
  <si>
    <t>LNC</t>
  </si>
  <si>
    <t>Lương cơ bản ( lương cấp bậc )</t>
  </si>
  <si>
    <t>LCB</t>
  </si>
  <si>
    <t>Hệ số lương theo cấp bậc</t>
  </si>
  <si>
    <t>HCB</t>
  </si>
  <si>
    <t>BẢNG TÍNH ĐƠN GIÁ NHÂN CÔNG</t>
  </si>
  <si>
    <t>(Theo QĐ 869/2018 Hà Nội (theo TT 05/2016).)</t>
  </si>
  <si>
    <t>BẢNG TÍNH MỨC LƯƠNG ĐẦU VÀO Lnc</t>
  </si>
  <si>
    <t>Diễn giải</t>
  </si>
  <si>
    <t>Lao động phổ thông. Vùng 1 (đ/tháng)</t>
  </si>
  <si>
    <t>Lao động trung bình, khá. Vùng 1 (đ/tháng)</t>
  </si>
  <si>
    <t>Lao động giỏi. Vùng 1 (đ/tháng)</t>
  </si>
  <si>
    <t>Mức lương trung bình (đ/tháng)</t>
  </si>
  <si>
    <t>Hệ số lương của NC bậc 3,0/7</t>
  </si>
  <si>
    <t>Hệ số lương của NC bậc 4,0/7</t>
  </si>
  <si>
    <t>Hệ số lương của NC bậc 3,5/7</t>
  </si>
  <si>
    <t>Mức lương đầu vào Lnc (đ/tháng)</t>
  </si>
  <si>
    <t>Đơn vị tính : đồng</t>
  </si>
  <si>
    <t>Tên nhân công</t>
  </si>
  <si>
    <t>Hệ số lương (HCB)</t>
  </si>
  <si>
    <t>Lương tối thiểu chung (LTC)</t>
  </si>
  <si>
    <t>Lương tối thiểu vùng (LNC)</t>
  </si>
  <si>
    <t>Lương CB
(LNC x HCB)</t>
  </si>
  <si>
    <t>Phụ cấp</t>
  </si>
  <si>
    <t>Đơn giá 
nhân công 
(đ/công)</t>
  </si>
  <si>
    <t>Hệ số lương (chưa làm tròn)</t>
  </si>
  <si>
    <t>Lưu động 
(0% LTC)</t>
  </si>
  <si>
    <t>Không ổn định S.X 
(0% LCB)</t>
  </si>
  <si>
    <t>Lương phụ nghỉ lễ, tết 
(0% LCB)</t>
  </si>
  <si>
    <t>Khoán trực tiếp 
(0% LCB)</t>
  </si>
  <si>
    <t>Khu vực 
(0% LTC)</t>
  </si>
  <si>
    <t>Độc hại 
(0% LTC)</t>
  </si>
  <si>
    <t>Thu hút 
(0% LCB)</t>
  </si>
  <si>
    <t>Trách nhiệm 
(0% LTC)</t>
  </si>
  <si>
    <t>Bảo hiểm 
(0% LCB)</t>
  </si>
  <si>
    <t>Vùng sâu, vùng xa 
(0% LCB)</t>
  </si>
  <si>
    <t>BẢNG TÍNH ĐƠN GIÁ CA MÁY</t>
  </si>
  <si>
    <t>(Theo Định mức 1134/2015/QĐ-BXD, QĐ 869/2018 Hà Nội (theo TT 05/2016).)</t>
  </si>
  <si>
    <t>Tên máy và thiết bị thi công / Diễn giải</t>
  </si>
  <si>
    <t>Nguyên giá</t>
  </si>
  <si>
    <t>Số ca / 1 năm</t>
  </si>
  <si>
    <t>Số ngày / tháng</t>
  </si>
  <si>
    <t>Chi phí</t>
  </si>
  <si>
    <t>* Nhiên liệu, năng lượng :</t>
  </si>
  <si>
    <t xml:space="preserve"> - Diezel</t>
  </si>
  <si>
    <t>* Nhân công vận hành máy :</t>
  </si>
  <si>
    <t xml:space="preserve"> - Nhân công bậc 3 - Nhóm I</t>
  </si>
  <si>
    <t>Lương cơ bản</t>
  </si>
  <si>
    <t xml:space="preserve"> - Nhân công bậc 5 - Nhóm I</t>
  </si>
  <si>
    <t>* Khấu hao, Sửa chữa và Chi phí khác</t>
  </si>
  <si>
    <t xml:space="preserve"> - Khấu hao</t>
  </si>
  <si>
    <t xml:space="preserve"> - Sửa chữa</t>
  </si>
  <si>
    <t xml:space="preserve"> - Chi phí khác</t>
  </si>
  <si>
    <t xml:space="preserve"> - Điện</t>
  </si>
  <si>
    <t xml:space="preserve"> - Nhân công bậc 6 - Nhóm I</t>
  </si>
  <si>
    <t xml:space="preserve"> - Xăng A92</t>
  </si>
  <si>
    <t xml:space="preserve"> - Nhân công bậc 4 - Nhóm I</t>
  </si>
  <si>
    <t xml:space="preserve"> - Xe tải, xe cẩu từ 16,5 tấn đến dưới 25 tấn, xe khách từ 60 ghế đến dưới 80 ghế - bậc I</t>
  </si>
  <si>
    <t xml:space="preserve"> - Xe tải, xe cẩu từ 16,5 tấn đến dưới 25 tấn, xe khách từ 60 ghế đến dưới 80 ghế - bậc III</t>
  </si>
  <si>
    <t xml:space="preserve"> - Xe tải, xe cẩu từ 7,5 tấn đến dưới 16,5 tấn, xe khách từ 40 ghế đến dưới 60 ghế - bậc II</t>
  </si>
  <si>
    <t>HAO PHÍ VẬT LIỆU, NHÂN CÔNG, MÁY CHO CÁC CÔNG TÁC XÂY DỰNG</t>
  </si>
  <si>
    <t>VL khác, Máy khác</t>
  </si>
  <si>
    <t>VLK gốc</t>
  </si>
  <si>
    <t>MK gốc</t>
  </si>
  <si>
    <t>VLK HT</t>
  </si>
  <si>
    <t>MK HT</t>
  </si>
  <si>
    <t>Cước VC</t>
  </si>
  <si>
    <t>Cước bộ</t>
  </si>
  <si>
    <t>So sánh</t>
  </si>
  <si>
    <t>Mã hiệu</t>
  </si>
  <si>
    <t>Tên công tác / vật tư</t>
  </si>
  <si>
    <t>Định mức hao phí</t>
  </si>
  <si>
    <t>Khối lượng hao phí</t>
  </si>
  <si>
    <t>N. công</t>
  </si>
  <si>
    <t>b.) Nhân công</t>
  </si>
  <si>
    <t>c.) Máy thi công</t>
  </si>
  <si>
    <t>a.) Vật liệu</t>
  </si>
  <si>
    <t>M999</t>
  </si>
  <si>
    <t>Máy khác</t>
  </si>
  <si>
    <t>%</t>
  </si>
  <si>
    <t>Z999</t>
  </si>
  <si>
    <t>Vật liệu khác</t>
  </si>
  <si>
    <t>BẢNG ĐƠN GIÁ DỰ THẦU HẠNG MỤC CÔNG TRÌNH</t>
  </si>
  <si>
    <t>Tên công tác</t>
  </si>
  <si>
    <t>TỔNG HẠNG MỤC</t>
  </si>
  <si>
    <t>( Bằng chữ : Tám mươi mốt triệu sáu trăm sáu mươi nghìn ba trăm tám mươi tám đồng chẵn./.</t>
  </si>
  <si>
    <t>TỔNG CÔNG TRÌNH</t>
  </si>
  <si>
    <t>LÀM TRÒN</t>
  </si>
  <si>
    <t>( Bằng chữ : ba trăm sáu mươi triệu, hai tram ba mươi sáu đồng chẵn./.</t>
  </si>
  <si>
    <t>BẢNG CHIẾT TÍNH DỰ THẦU HẠNG MỤC CÔNG TRÌNH</t>
  </si>
  <si>
    <t>Thành phần hao phí</t>
  </si>
  <si>
    <t>Cộng chi phí trực tiếp ( VL+NC+M )</t>
  </si>
  <si>
    <t>T</t>
  </si>
  <si>
    <t>CHI PHÍ CHUNG ( T x 5.7% )</t>
  </si>
  <si>
    <t>C</t>
  </si>
  <si>
    <t>5.7%</t>
  </si>
  <si>
    <t>THU NHẬP CHỊU THUẾ TÍNH TRƯỚC (T+C) x 5.5%</t>
  </si>
  <si>
    <t>TL</t>
  </si>
  <si>
    <t>5.5%</t>
  </si>
  <si>
    <t>Chi phí xây dựng trước thuế (T+C+TL)</t>
  </si>
  <si>
    <t>G</t>
  </si>
  <si>
    <t>THUẾ GIÁ TRỊ GIA TĂNG ( G x 10% )</t>
  </si>
  <si>
    <t>GTGT</t>
  </si>
  <si>
    <t>Chi phí xây dựng sau thuế (G+GTGT)</t>
  </si>
  <si>
    <t>Gxd</t>
  </si>
  <si>
    <t>Cộng</t>
  </si>
  <si>
    <t>BẢNG TỔNG HỢP VẬT TƯ VÀ CHÊNH LỆCH GIÁ</t>
  </si>
  <si>
    <t>Giá T.B</t>
  </si>
  <si>
    <t>Thành tiền2</t>
  </si>
  <si>
    <t>Giá T.B x H.S</t>
  </si>
  <si>
    <t>Thành tiền3</t>
  </si>
  <si>
    <t>Cước V.C
Bù N.Liệu</t>
  </si>
  <si>
    <t>Thành tiền4</t>
  </si>
  <si>
    <t>Giá H.T</t>
  </si>
  <si>
    <t>Thành tiền5</t>
  </si>
  <si>
    <t>Chênh lệch</t>
  </si>
  <si>
    <t>Tổng chênh</t>
  </si>
  <si>
    <t>Cước ôtô, sông</t>
  </si>
  <si>
    <t>I.) VẬT LIỆU</t>
  </si>
  <si>
    <t>TỔNG VẬT LIỆU</t>
  </si>
  <si>
    <t>II.) NHÂN CÔNG</t>
  </si>
  <si>
    <t>TỔNG NHÂN CÔNG</t>
  </si>
  <si>
    <t>III.) MÁY THI CÔNG</t>
  </si>
  <si>
    <t>TỔNG MÁY THI CÔNG</t>
  </si>
  <si>
    <t>Cước V.C�Bù N.Liệu</t>
  </si>
  <si>
    <t>BẢNG CƯỚC VẬN CHUYỂN</t>
  </si>
  <si>
    <t>Tên vật liệu
/
Diễn giải vận chuyển</t>
  </si>
  <si>
    <t>Đơn
vị</t>
  </si>
  <si>
    <t>Khối
lượng</t>
  </si>
  <si>
    <t>Trọng
lượng
đơn
vị
(Tấn)</t>
  </si>
  <si>
    <t>Nguồn
mua</t>
  </si>
  <si>
    <t>Phương
tiện
vận
chuyển
/ Loại
hình</t>
  </si>
  <si>
    <t>Bậc
hàng</t>
  </si>
  <si>
    <t>Hệ
số
bậc
hàng</t>
  </si>
  <si>
    <t>Cự
ly
tổng
(km)</t>
  </si>
  <si>
    <t>Cung
đường</t>
  </si>
  <si>
    <t>H.số
đổ
ben
hoặc
bốc
dỡ</t>
  </si>
  <si>
    <t>H.số
sử
dụng
xe
tải
nhỏ</t>
  </si>
  <si>
    <t>Định mức
ca máy
(ca/T.km)</t>
  </si>
  <si>
    <t>Định mức
ca máy
đã v/c
trước
(ca/T.km)</t>
  </si>
  <si>
    <t>Đơn giá
ca máy
(đ/ca)</t>
  </si>
  <si>
    <t>Giá cước
(đ/T.km)</t>
  </si>
  <si>
    <t>Cộng
thêm
cước
(đ/T)</t>
  </si>
  <si>
    <t>Thành tiền
Chi phí
có thuế
(đ)</t>
  </si>
  <si>
    <t>Hệ
số
điều
chỉnh
cước
VC</t>
  </si>
  <si>
    <t>Cước V/C
sau khi
điều
chỉnh
có thuế
(đ)</t>
  </si>
  <si>
    <t>Bốc xếp
+ vận
chuyển
bằng xe
ben
(đ)</t>
  </si>
  <si>
    <t>Định
mức
bốc
lên
khi
trung
chuyển</t>
  </si>
  <si>
    <t>Định
mức
dỡ
xuống
khi
trung
chuyển</t>
  </si>
  <si>
    <t>Đơn giá
bốc dỡ</t>
  </si>
  <si>
    <t>Chi phí
bốc dỡ
khi
trung
chuyển
(đ)</t>
  </si>
  <si>
    <t>Hệ số
hao hụt
khi
trung
chuyển</t>
  </si>
  <si>
    <t>Chi phí
hao hụt
khi
trung
chuyển
(đ)</t>
  </si>
  <si>
    <t>Định
mức
bốc
lên
khi
bảo
quản</t>
  </si>
  <si>
    <t>Định
mức
dỡ
xuống
khi
bảo
quản</t>
  </si>
  <si>
    <t>Chi phí
bốc dỡ
khi
bảo
quản
(đ)</t>
  </si>
  <si>
    <t>Hệ
số
hao
hụt
bảo
quản</t>
  </si>
  <si>
    <t>Chi phí
hao
hụt
bảo
quản</t>
  </si>
  <si>
    <t>Giá V/C
trước
thuế
(đ)</t>
  </si>
  <si>
    <t>Thành tiền
Vận chuyển
(đ)</t>
  </si>
  <si>
    <t>Giá vật
liệu gốc
trước thuế
(đ)</t>
  </si>
  <si>
    <t>Giá hiện
trường
trước
thuế
(đ)</t>
  </si>
  <si>
    <t>Thành tiền
hiện trường
(đ)</t>
  </si>
  <si>
    <t>Cự
ly
(km)</t>
  </si>
  <si>
    <t>Loại
đg`</t>
  </si>
  <si>
    <t>Hệ
số
loại
đg`</t>
  </si>
  <si>
    <t>Đã
v/c
(km)</t>
  </si>
  <si>
    <t>ô tô tự đổ 5t</t>
  </si>
  <si>
    <t>BẢNG CƯỚC VẬN CHUYỂN BỘ HẠNG MỤC CÔNG TRÌNH</t>
  </si>
  <si>
    <t>Tên vật liệu
/
Diễn giải
cung đường</t>
  </si>
  <si>
    <t>Phương
tiện
vận
chuyển</t>
  </si>
  <si>
    <t>Có
bốc
dỡ</t>
  </si>
  <si>
    <t>Cự ly
vận
chuyển
(m)</t>
  </si>
  <si>
    <t>Hệ
số
cự
ly</t>
  </si>
  <si>
    <t>Cự ly
quy
đổi
(m)</t>
  </si>
  <si>
    <t>Số công bốc dỡ / V.C
(công)</t>
  </si>
  <si>
    <t>Đơn giá bốc dỡ / V.C
(đồng)</t>
  </si>
  <si>
    <t>Hệ
số
độ
dốc</t>
  </si>
  <si>
    <t>Giá
cước
1 cung
đg`
(đ)</t>
  </si>
  <si>
    <t>Hệ
số
khu
vực</t>
  </si>
  <si>
    <t>Hệ
số
điều
chỉnh
cước</t>
  </si>
  <si>
    <t>Giá
cước bộ
(đ)</t>
  </si>
  <si>
    <t>Thành tiền
vận
chuyển
(đ)</t>
  </si>
  <si>
    <t>Bốc dỡ</t>
  </si>
  <si>
    <t>10m đầu</t>
  </si>
  <si>
    <t>10m tiếp</t>
  </si>
  <si>
    <t>BẢNG TỔNG HỢP DỰ TOÁN CHI PHÍ XÂY DỰNG</t>
  </si>
  <si>
    <t>Khoản mục chi phí</t>
  </si>
  <si>
    <t>Cách tính</t>
  </si>
  <si>
    <t>I</t>
  </si>
  <si>
    <t>CHI PHÍ TRỰC TIẾP</t>
  </si>
  <si>
    <t>1</t>
  </si>
  <si>
    <t>Chi phí Vật liệu</t>
  </si>
  <si>
    <t>VL</t>
  </si>
  <si>
    <t xml:space="preserve"> + Theo tổng hợp vật tư</t>
  </si>
  <si>
    <t>A1</t>
  </si>
  <si>
    <t>Bảng tổng hợp vật tư</t>
  </si>
  <si>
    <t>2</t>
  </si>
  <si>
    <t>Chi phí Nhân công</t>
  </si>
  <si>
    <t>NC</t>
  </si>
  <si>
    <t>B1</t>
  </si>
  <si>
    <t>3</t>
  </si>
  <si>
    <t>Chi phí Máy thi công</t>
  </si>
  <si>
    <t>M</t>
  </si>
  <si>
    <t>Cộng chi phí trực tiếp</t>
  </si>
  <si>
    <t>VL + NC + M</t>
  </si>
  <si>
    <t>II</t>
  </si>
  <si>
    <t>CHI PHÍ CHUNG</t>
  </si>
  <si>
    <t>T x 5.7%</t>
  </si>
  <si>
    <t>III</t>
  </si>
  <si>
    <t>THU NHẬP CHỊU THUẾ TÍNH TRƯỚC</t>
  </si>
  <si>
    <t>(T+C) x 5.5%</t>
  </si>
  <si>
    <t>Chi phí xây dựng trước thuế</t>
  </si>
  <si>
    <t>(T+C+TL)</t>
  </si>
  <si>
    <t>IV</t>
  </si>
  <si>
    <t>THUẾ GIÁ TRỊ GIA TĂNG</t>
  </si>
  <si>
    <t>G x 10%</t>
  </si>
  <si>
    <t>V</t>
  </si>
  <si>
    <t>Chi phí xây dựng sau thuế</t>
  </si>
  <si>
    <t>G+GTGT</t>
  </si>
  <si>
    <t>Bằng chữ : Tám mươi mốt triệu sáu trăm sáu mươi nghìn đồng chẵn./.</t>
  </si>
  <si>
    <t>Bằng chữ : Ba trăm sáu mươi hai triệu hai trăm ba mươi sáu nghìn đồng chẵn./.</t>
  </si>
  <si>
    <t>BẢNG TỔNG HỢP CHI PHÍ THIẾT BỊ CÔNG TRÌNH</t>
  </si>
  <si>
    <t>Số lượng</t>
  </si>
  <si>
    <t>Đơn giá trước thuế</t>
  </si>
  <si>
    <t>Thành tiền trước thuế</t>
  </si>
  <si>
    <t>Thuế VAT</t>
  </si>
  <si>
    <t>Thành tiền sau thuế</t>
  </si>
  <si>
    <t>Chi phí mua sắm thiết bị</t>
  </si>
  <si>
    <t>Chi phí đào tạo và chuyển giao công nghệ</t>
  </si>
  <si>
    <t>Chi phí lắp đặt thiết bị và thí nghiệm, hiệu chỉnh</t>
  </si>
  <si>
    <t>TỔNG CỘNG</t>
  </si>
  <si>
    <t>Không đồng chẵn./.</t>
  </si>
  <si>
    <t>TT</t>
  </si>
  <si>
    <t>Bù VL</t>
  </si>
  <si>
    <t>NC XL</t>
  </si>
  <si>
    <t>NC đất</t>
  </si>
  <si>
    <t>Ca máy</t>
  </si>
  <si>
    <t>BẢNG HỆ SỐ CHI PHÍ XÂY DỰNG</t>
  </si>
  <si>
    <t>Đơn giá tổng hợp</t>
  </si>
  <si>
    <t>Bù V.L</t>
  </si>
  <si>
    <t>NC Đất</t>
  </si>
  <si>
    <t>BẢNG HỆ SỐ CHI PHÍ XÂY LẮP</t>
  </si>
  <si>
    <t>Hệ số chi phí xây lắp</t>
  </si>
  <si>
    <t>Diễn giải hệ số</t>
  </si>
  <si>
    <t>Hệ số riêng Vật liệu</t>
  </si>
  <si>
    <t>Hệ số Vật liệu phụ</t>
  </si>
  <si>
    <t>0</t>
  </si>
  <si>
    <t>Hệ số riêng Nhân công</t>
  </si>
  <si>
    <t>Hệ số Bù Nhân công</t>
  </si>
  <si>
    <t>Hệ số riêng Nhân công đất</t>
  </si>
  <si>
    <t>Hệ số Bù Nhân công đất</t>
  </si>
  <si>
    <t>Hệ số riêng Máy</t>
  </si>
  <si>
    <t>Hệ số Bù Máy</t>
  </si>
  <si>
    <t>Trực tiếp phí khác</t>
  </si>
  <si>
    <t>Chi phí chung</t>
  </si>
  <si>
    <t>Chi phí chung cho công tác đất thủ công</t>
  </si>
  <si>
    <t>Thu nhập chịu thuế tính trước</t>
  </si>
  <si>
    <t>Lán trại nhà tạm</t>
  </si>
  <si>
    <t>Bảng định vị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</si>
  <si>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</si>
  <si>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</si>
  <si>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</si>
  <si>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</si>
  <si>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</si>
  <si>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</si>
  <si>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</si>
  <si>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</si>
  <si>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</si>
  <si>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</si>
  <si>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</si>
  <si>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</si>
  <si>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</si>
  <si>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</si>
  <si>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</si>
  <si>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</si>
  <si>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</si>
  <si>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</si>
  <si>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</si>
  <si>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Công trình</t>
  </si>
  <si>
    <t>Đơn giá, CSDL</t>
  </si>
  <si>
    <t>Mẫu tính toán</t>
  </si>
  <si>
    <t>Hệ số chung công trình</t>
  </si>
  <si>
    <t>Tiêu đề bảng</t>
  </si>
  <si>
    <t>Phông chữ sheet Tiên lượng</t>
  </si>
  <si>
    <t>Màu sắc sheet Tiên lượng</t>
  </si>
  <si>
    <t>Phông chữ các bảng khác</t>
  </si>
  <si>
    <t>Chữ ký</t>
  </si>
  <si>
    <t>Làm tròn số học</t>
  </si>
  <si>
    <t>Hạng mục</t>
  </si>
  <si>
    <t>Tổng hạng mục</t>
  </si>
  <si>
    <t>Giai đoạn QT</t>
  </si>
  <si>
    <t>Tổng giai đoạn QT</t>
  </si>
  <si>
    <t>34</t>
  </si>
  <si>
    <t>44</t>
  </si>
  <si>
    <t>53</t>
  </si>
  <si>
    <t>68</t>
  </si>
  <si>
    <t>71</t>
  </si>
  <si>
    <t>78</t>
  </si>
  <si>
    <t>74</t>
  </si>
  <si>
    <t>Thông tin chung về Công trình</t>
  </si>
  <si>
    <t>Tên công trình</t>
  </si>
  <si>
    <t>Địa điểm XD</t>
  </si>
  <si>
    <t>Chủ đầu tư</t>
  </si>
  <si>
    <t>Đơn vị thi công</t>
  </si>
  <si>
    <t>Loại (Dự, quyết toán )</t>
  </si>
  <si>
    <t>Loại công trình</t>
  </si>
  <si>
    <t>Loại thiết kế</t>
  </si>
  <si>
    <t>Cấp công trình</t>
  </si>
  <si>
    <t>Hệ số K, điều chỉnh TKế</t>
  </si>
  <si>
    <t>Công văn</t>
  </si>
  <si>
    <t>H.s chi phí Dự phòng</t>
  </si>
  <si>
    <t>KHU ĐÔ THỊ KIẾN HƯNG, QUẬN HÀ ĐÔNG, THÀNH PHỐ HÀ NỘI</t>
  </si>
  <si>
    <t>CÔNG TY CỔ PHẦN ĐẦU TƯ VÀ PHÁT TRIỂN ĐÔ THỊ KIẾN HƯNG</t>
  </si>
  <si>
    <t>CÔNG TY CỔ PHẦN KIẾN TRÚC ĐƯƠNG ĐẠI</t>
  </si>
  <si>
    <t>Glnvks~0~0~0~0~0.03|Gtttkcn~0~0~0~0~0.2|Gttbcktkt_tk~1.2~0~0~0~0|Gttbcktkt_dt~1.2~0~0~0~0|Gtkbv~0~0~0~0~0.55|Glhsmqt79~0~0~0~0~0.3|Glhsyc79~0~0~0~0~0.6|GthamdinhTKCS~0~0~0~0~0.5</t>
  </si>
  <si>
    <t>Đơn giá , Cơ sở dữ liệu</t>
  </si>
  <si>
    <t>Tỉnh - TP</t>
  </si>
  <si>
    <t>Cước cơ giới</t>
  </si>
  <si>
    <t>Cước thủ công</t>
  </si>
  <si>
    <t>GVL242015</t>
  </si>
  <si>
    <t>Chiết tính</t>
  </si>
  <si>
    <t>Tổng hợp kinh phí HM</t>
  </si>
  <si>
    <t>Tổng hợp kinh phí công trình</t>
  </si>
  <si>
    <t>Nhóm công trình</t>
  </si>
  <si>
    <t>Hệ số ...</t>
  </si>
  <si>
    <t>Tên Bảng</t>
  </si>
  <si>
    <t>Tiêu đề</t>
  </si>
  <si>
    <t>Tiên lượng</t>
  </si>
  <si>
    <t>Giá Tháng</t>
  </si>
  <si>
    <t>Phân tích vật tư</t>
  </si>
  <si>
    <t>BẢNG PHÂN TÍCH VẬT TƯ HẠNG MỤC CÔNG TRÌNH</t>
  </si>
  <si>
    <t>Tổng hợp vật tư</t>
  </si>
  <si>
    <t>Cước vận chuyển</t>
  </si>
  <si>
    <t>Cước vận chuyển bình quân</t>
  </si>
  <si>
    <t>BẢNG CƯỚC VẬN CHUYỂN BÌNH QUÂN</t>
  </si>
  <si>
    <t>Tổng hợp kinh phí hạng mục</t>
  </si>
  <si>
    <t>Tổng hợp chi phí thiết bị</t>
  </si>
  <si>
    <t>Tổng hợp chi phí XD</t>
  </si>
  <si>
    <t>BẢNG TỔNG HỢP CHI PHÍ XÂY DỰNG CÔNG TRÌNH</t>
  </si>
  <si>
    <t>Tổng hợp kinh phí</t>
  </si>
  <si>
    <t>BẢNG TỔNG HỢP DỰ TOÁN CÔNG TRÌNH</t>
  </si>
  <si>
    <t>Dự thầu</t>
  </si>
  <si>
    <t>Bìa</t>
  </si>
  <si>
    <t>HỒ SƠ DỰ TOÁN</t>
  </si>
  <si>
    <t>Đơn giá Tổng hợp</t>
  </si>
  <si>
    <t>BẢNG ĐƠN GIÁ TỔNG HỢP HẠNG MỤC CÔNG TRÌNH</t>
  </si>
  <si>
    <t>Thành phần</t>
  </si>
  <si>
    <t>Tên phông chữ</t>
  </si>
  <si>
    <t>Cỡ chữ</t>
  </si>
  <si>
    <t>Bold</t>
  </si>
  <si>
    <t>Italic</t>
  </si>
  <si>
    <t>Underline</t>
  </si>
  <si>
    <t>Strikeout</t>
  </si>
  <si>
    <t>Công tác</t>
  </si>
  <si>
    <t>Arial</t>
  </si>
  <si>
    <t>Nhóm</t>
  </si>
  <si>
    <t>Times New Roman</t>
  </si>
  <si>
    <t>Tiêu đề bảng TL</t>
  </si>
  <si>
    <t>Tên hạng mục</t>
  </si>
  <si>
    <t>Tên bảng</t>
  </si>
  <si>
    <t>A</t>
  </si>
  <si>
    <t>R</t>
  </si>
  <si>
    <t>B</t>
  </si>
  <si>
    <t>255</t>
  </si>
  <si>
    <t>Diễn giải lỗi</t>
  </si>
  <si>
    <t>Tạm tính</t>
  </si>
  <si>
    <t>165</t>
  </si>
  <si>
    <t>42</t>
  </si>
  <si>
    <t>128</t>
  </si>
  <si>
    <t>139</t>
  </si>
  <si>
    <t>Phông chữ tiêu đề bảng</t>
  </si>
  <si>
    <t>Cỡ chữ tiêu đề bảng</t>
  </si>
  <si>
    <t>Arial Narrow</t>
  </si>
  <si>
    <t>Chữ ký (Cho phép User tự do đánh dấu cách )</t>
  </si>
  <si>
    <t>Chức danh</t>
  </si>
  <si>
    <t>Họ và tên người ký</t>
  </si>
  <si>
    <t>NGƯỜI LẬP                                                                              NGƯỜI CHỦ TRÌ</t>
  </si>
  <si>
    <t>Tròn hao phí Đ.M</t>
  </si>
  <si>
    <t>Tròn khối lượng</t>
  </si>
  <si>
    <t>Tròn giá vật tư</t>
  </si>
  <si>
    <t>Tròn đơn giá công tác</t>
  </si>
  <si>
    <t>Tròn thành tiền</t>
  </si>
  <si>
    <t>Tròn tổng thành tiền</t>
  </si>
  <si>
    <t>Tròn Hệ số</t>
  </si>
  <si>
    <t>Thông tin về Hạng mục</t>
  </si>
  <si>
    <t>Tổng số hạng mục</t>
  </si>
  <si>
    <t>Danh sách các Hạng mục</t>
  </si>
  <si>
    <t>Hệ số chi phí chung</t>
  </si>
  <si>
    <t>H.S thu nhập chịu thuế TT</t>
  </si>
  <si>
    <t>H.S riêng VL</t>
  </si>
  <si>
    <t>Hệ số VL phụ</t>
  </si>
  <si>
    <t>H.S riêng NC</t>
  </si>
  <si>
    <t>H.S bù NC</t>
  </si>
  <si>
    <t>H.S riêng NC đất</t>
  </si>
  <si>
    <t>H.S bù NC đất</t>
  </si>
  <si>
    <t>H.S riêng Máy</t>
  </si>
  <si>
    <t>H.S bù Máy</t>
  </si>
  <si>
    <t>H.S VAT</t>
  </si>
  <si>
    <t>HS Lán trại</t>
  </si>
  <si>
    <t>H.S CP Trực tiếp</t>
  </si>
  <si>
    <t>H.S đảm bảo ATGT</t>
  </si>
  <si>
    <t>H.S VAT TB</t>
  </si>
  <si>
    <t>PP tính CPC</t>
  </si>
  <si>
    <t>Hệ số CPC đất</t>
  </si>
  <si>
    <t>Hs Chi phi du phong</t>
  </si>
  <si>
    <t>Mã đất đầu</t>
  </si>
  <si>
    <t>Mã đất cuối</t>
  </si>
  <si>
    <t>Loại HM</t>
  </si>
  <si>
    <t>HsCPC</t>
  </si>
  <si>
    <t>HsTNCTTT</t>
  </si>
  <si>
    <t>HsrVL</t>
  </si>
  <si>
    <t>HsVLP</t>
  </si>
  <si>
    <t>HsrNC</t>
  </si>
  <si>
    <t>HsbNC</t>
  </si>
  <si>
    <t>HsrNCDat</t>
  </si>
  <si>
    <t>HsbNCDat</t>
  </si>
  <si>
    <t>HsrMay</t>
  </si>
  <si>
    <t>HsbMay</t>
  </si>
  <si>
    <t>VAT</t>
  </si>
  <si>
    <t>HsLT</t>
  </si>
  <si>
    <t>HsTtKhac</t>
  </si>
  <si>
    <t>HsATGT</t>
  </si>
  <si>
    <t>HsCPCDat</t>
  </si>
  <si>
    <t>HsCpDp</t>
  </si>
  <si>
    <t>MaNcDatDau</t>
  </si>
  <si>
    <t>MaNcDatCuoi</t>
  </si>
  <si>
    <t>T5,7%</t>
  </si>
  <si>
    <t>T0,055</t>
  </si>
  <si>
    <t>T1</t>
  </si>
  <si>
    <t>T0</t>
  </si>
  <si>
    <t>T0,1</t>
  </si>
  <si>
    <t>T0,01</t>
  </si>
  <si>
    <t>T0,025</t>
  </si>
  <si>
    <t>0~0~0~11~2~3~0~0~0~0~0~0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</si>
</sst>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#######;\-#,##0.#######"/>
    <numFmt numFmtId="177" formatCode="#,##0.####;\-#,##0.####"/>
    <numFmt numFmtId="178" formatCode="#,##0.#;\-#,##0.#"/>
    <numFmt numFmtId="179" formatCode="#,##0.#####;\-#,##0.#####"/>
    <numFmt numFmtId="180" formatCode="0.00000\ %;\-0.00000\ %"/>
    <numFmt numFmtId="181" formatCode="#,##0.0000;\-#,##0.0000"/>
    <numFmt numFmtId="182" formatCode="#,##0.00000;\-#,##0.00000"/>
    <numFmt numFmtId="183" formatCode="#,##0.########;\-#,##0.########"/>
    <numFmt numFmtId="184" formatCode="#,##0.000000;\-#,##0.000000"/>
    <numFmt numFmtId="185" formatCode="#,##0.0;\-#,##0.0"/>
    <numFmt numFmtId="186" formatCode="#,##0.###;\-#,##0.###"/>
    <numFmt numFmtId="187" formatCode="#,##0.000;\-#,##0.000"/>
    <numFmt numFmtId="188" formatCode="#,##0.00;\-#,##0.00"/>
  </numFmts>
  <fonts count="72">
    <font>
      <sz val="8.25"/>
      <name val="Microsoft Sans Serif"/>
      <charset val="0"/>
    </font>
    <font>
      <sz val="11.25"/>
      <name val="Arial Narrow"/>
      <family val="2"/>
      <charset val="0"/>
    </font>
    <font>
      <b/>
      <sz val="15"/>
      <name val="Times New Roman"/>
      <charset val="1"/>
    </font>
    <font>
      <b/>
      <sz val="12"/>
      <name val="Times New Roman"/>
      <family val="1"/>
      <charset val="0"/>
    </font>
    <font>
      <b/>
      <sz val="11"/>
      <name val="Times New Roman"/>
      <family val="1"/>
      <charset val="0"/>
    </font>
    <font>
      <sz val="8.25"/>
      <color indexed="12"/>
      <name val="Microsoft Sans Serif"/>
      <family val="2"/>
      <charset val="0"/>
    </font>
    <font>
      <sz val="11"/>
      <name val="Arial Narrow"/>
      <family val="2"/>
      <charset val="0"/>
    </font>
    <font>
      <b/>
      <sz val="11"/>
      <color indexed="8"/>
      <name val="Times New Roman"/>
      <family val="1"/>
      <charset val="0"/>
    </font>
    <font>
      <sz val="11"/>
      <color indexed="8"/>
      <name val="Arial Narrow"/>
      <family val="2"/>
      <charset val="0"/>
    </font>
    <font>
      <b/>
      <sz val="10"/>
      <color indexed="27"/>
      <name val="Times New Roman"/>
      <family val="1"/>
      <charset val="0"/>
    </font>
    <font>
      <b/>
      <i/>
      <sz val="11"/>
      <name val="Times New Roman"/>
      <family val="1"/>
      <charset val="0"/>
    </font>
    <font>
      <sz val="10"/>
      <name val="Times New Roman"/>
      <family val="1"/>
      <charset val="0"/>
    </font>
    <font>
      <i/>
      <sz val="11"/>
      <name val="Times New Roman"/>
      <family val="1"/>
      <charset val="0"/>
    </font>
    <font>
      <sz val="11"/>
      <name val="Times New Roman"/>
      <family val="1"/>
      <charset val="0"/>
    </font>
    <font>
      <b/>
      <sz val="12"/>
      <color indexed="27"/>
      <name val="Times New Roman"/>
      <family val="1"/>
      <charset val="0"/>
    </font>
    <font>
      <sz val="11"/>
      <color indexed="27"/>
      <name val="Arial Narrow"/>
      <family val="2"/>
      <charset val="0"/>
    </font>
    <font>
      <sz val="11"/>
      <name val="Arial"/>
      <family val="2"/>
      <charset val="0"/>
    </font>
    <font>
      <sz val="8.25"/>
      <name val="Microsoft Sans Serif"/>
      <family val="2"/>
      <charset val="0"/>
    </font>
    <font>
      <b/>
      <sz val="18"/>
      <color theme="6" tint="-0.249977111117893"/>
      <name val="Times New Roman"/>
      <family val="1"/>
      <charset val="0"/>
    </font>
    <font>
      <sz val="18"/>
      <color theme="6" tint="-0.249977111117893"/>
      <name val="Microsoft Sans Serif"/>
      <family val="2"/>
      <charset val="0"/>
    </font>
    <font>
      <b/>
      <sz val="12"/>
      <color theme="0" tint="-0.499984740745262"/>
      <name val="Times New Roman"/>
      <family val="1"/>
      <charset val="0"/>
    </font>
    <font>
      <sz val="8.25"/>
      <color theme="0" tint="-0.499984740745262"/>
      <name val="Microsoft Sans Serif"/>
      <family val="2"/>
      <charset val="0"/>
    </font>
    <font>
      <b/>
      <sz val="11"/>
      <color theme="0" tint="-0.499984740745262"/>
      <name val="Times New Roman"/>
      <family val="1"/>
      <charset val="0"/>
    </font>
    <font>
      <b/>
      <sz val="8"/>
      <name val="Arial"/>
      <family val="2"/>
      <charset val="0"/>
    </font>
    <font>
      <b/>
      <sz val="18"/>
      <color theme="5" tint="-0.249977111117893"/>
      <name val="Times New Roman"/>
      <family val="1"/>
      <charset val="0"/>
    </font>
    <font>
      <sz val="18"/>
      <color theme="5" tint="-0.249977111117893"/>
      <name val="Arial Narrow"/>
      <family val="2"/>
      <charset val="0"/>
    </font>
    <font>
      <sz val="11"/>
      <color theme="0" tint="-0.499984740745262"/>
      <name val="Arial Narrow"/>
      <family val="2"/>
      <charset val="0"/>
    </font>
    <font>
      <b/>
      <sz val="11"/>
      <name val="Arial Narrow"/>
      <family val="2"/>
      <charset val="0"/>
    </font>
    <font>
      <b/>
      <i/>
      <sz val="11"/>
      <name val="Arial Narrow"/>
      <family val="2"/>
      <charset val="0"/>
    </font>
    <font>
      <b/>
      <u/>
      <sz val="12"/>
      <name val="Times New Roman"/>
      <family val="1"/>
      <charset val="0"/>
    </font>
    <font>
      <b/>
      <sz val="15"/>
      <name val="Times New Roman"/>
      <family val="1"/>
      <charset val="0"/>
    </font>
    <font>
      <b/>
      <sz val="18"/>
      <color theme="8" tint="-0.249977111117893"/>
      <name val="Times New Roman"/>
      <family val="1"/>
      <charset val="0"/>
    </font>
    <font>
      <sz val="18"/>
      <color theme="8" tint="-0.249977111117893"/>
      <name val="Microsoft Sans Serif"/>
      <family val="2"/>
      <charset val="0"/>
    </font>
    <font>
      <b/>
      <i/>
      <sz val="11"/>
      <color theme="0" tint="-0.499984740745262"/>
      <name val="Times New Roman"/>
      <family val="1"/>
      <charset val="0"/>
    </font>
    <font>
      <b/>
      <i/>
      <sz val="11"/>
      <color indexed="27"/>
      <name val="Arial Narrow"/>
      <family val="2"/>
      <charset val="0"/>
    </font>
    <font>
      <b/>
      <sz val="11"/>
      <color indexed="12"/>
      <name val="Arial Narrow"/>
      <family val="2"/>
      <charset val="0"/>
    </font>
    <font>
      <i/>
      <sz val="11"/>
      <color indexed="27"/>
      <name val="Arial Narrow"/>
      <family val="2"/>
      <charset val="0"/>
    </font>
    <font>
      <b/>
      <sz val="12"/>
      <color indexed="53"/>
      <name val="Times New Roman"/>
      <family val="1"/>
      <charset val="0"/>
    </font>
    <font>
      <sz val="11"/>
      <color indexed="12"/>
      <name val="Arial Narrow"/>
      <family val="2"/>
      <charset val="0"/>
    </font>
    <font>
      <b/>
      <sz val="8"/>
      <color indexed="27"/>
      <name val="Arial"/>
      <family val="2"/>
      <charset val="0"/>
    </font>
    <font>
      <sz val="11"/>
      <color indexed="10"/>
      <name val="Arial Narrow"/>
      <family val="2"/>
      <charset val="0"/>
    </font>
    <font>
      <sz val="10"/>
      <name val="Arial"/>
      <charset val="1"/>
    </font>
    <font>
      <sz val="10"/>
      <color indexed="23"/>
      <name val="Arial"/>
      <family val="2"/>
      <charset val="0"/>
    </font>
    <font>
      <sz val="10"/>
      <color indexed="8"/>
      <name val="Arial"/>
      <family val="2"/>
      <charset val="0"/>
    </font>
    <font>
      <b/>
      <sz val="10"/>
      <color indexed="25"/>
      <name val="Times New Roman"/>
      <family val="1"/>
      <charset val="0"/>
    </font>
    <font>
      <i/>
      <sz val="10"/>
      <color indexed="12"/>
      <name val="Arial"/>
      <family val="2"/>
      <charset val="0"/>
    </font>
    <font>
      <i/>
      <sz val="10"/>
      <color indexed="10"/>
      <name val="Arial"/>
      <family val="2"/>
      <charset val="0"/>
    </font>
    <font>
      <sz val="10"/>
      <color indexed="17"/>
      <name val="Arial"/>
      <family val="2"/>
      <charset val="0"/>
    </font>
    <font>
      <sz val="10"/>
      <color indexed="12"/>
      <name val="Arial"/>
      <family val="2"/>
      <charset val="0"/>
    </font>
    <font>
      <u/>
      <sz val="12"/>
      <color indexed="12"/>
      <name val=".VnTime"/>
      <family val="2"/>
      <charset val="0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  <font>
      <b/>
      <sz val="10"/>
      <name val="Arial"/>
      <family val="2"/>
      <charset val="0"/>
    </font>
    <font>
      <i/>
      <sz val="10"/>
      <name val="MS Sans Serif"/>
      <family val="2"/>
      <charset val="0"/>
    </font>
    <font>
      <sz val="10"/>
      <name val="Arial"/>
      <family val="2"/>
      <charset val="0"/>
    </font>
    <font>
      <sz val="8.25"/>
      <color indexed="8"/>
      <name val="Microsoft Sans Serif"/>
      <charset val="0"/>
    </font>
  </fonts>
  <fills count="35">
    <fill>
      <patternFill patternType="none"/>
    </fill>
    <fill>
      <patternFill patternType="gray125"/>
    </fill>
    <fill>
      <patternFill patternType="solid">
        <fgColor indexed="32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hair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protection locked="0"/>
    </xf>
    <xf numFmtId="43" fontId="17" fillId="0" borderId="0" applyNumberFormat="0">
      <protection locked="0"/>
    </xf>
    <xf numFmtId="44" fontId="17" fillId="0" borderId="0" applyNumberFormat="0">
      <protection locked="0"/>
    </xf>
    <xf numFmtId="9" fontId="17" fillId="0" borderId="0" applyNumberFormat="0">
      <protection locked="0"/>
    </xf>
    <xf numFmtId="41" fontId="17" fillId="0" borderId="0" applyNumberFormat="0">
      <protection locked="0"/>
    </xf>
    <xf numFmtId="42" fontId="17" fillId="0" borderId="0" applyNumberFormat="0"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/>
    <xf numFmtId="0" fontId="17" fillId="4" borderId="15" applyNumberFormat="0" applyFont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16" applyNumberFormat="0" applyFill="0" applyAlignment="0" applyProtection="0"/>
    <xf numFmtId="0" fontId="55" fillId="0" borderId="17" applyNumberFormat="0" applyFill="0" applyAlignment="0" applyProtection="0"/>
    <xf numFmtId="0" fontId="56" fillId="0" borderId="18" applyNumberFormat="0" applyFill="0" applyAlignment="0" applyProtection="0"/>
    <xf numFmtId="0" fontId="56" fillId="0" borderId="0" applyNumberFormat="0" applyFill="0" applyBorder="0" applyAlignment="0" applyProtection="0"/>
    <xf numFmtId="0" fontId="57" fillId="5" borderId="19" applyNumberFormat="0" applyAlignment="0" applyProtection="0"/>
    <xf numFmtId="0" fontId="58" fillId="6" borderId="20" applyNumberFormat="0" applyAlignment="0" applyProtection="0"/>
    <xf numFmtId="0" fontId="59" fillId="6" borderId="19" applyNumberFormat="0" applyAlignment="0" applyProtection="0"/>
    <xf numFmtId="0" fontId="60" fillId="7" borderId="21" applyNumberFormat="0" applyAlignment="0" applyProtection="0"/>
    <xf numFmtId="0" fontId="61" fillId="0" borderId="22" applyNumberFormat="0" applyFill="0" applyAlignment="0" applyProtection="0"/>
    <xf numFmtId="0" fontId="62" fillId="0" borderId="23" applyNumberFormat="0" applyFill="0" applyAlignment="0" applyProtection="0"/>
    <xf numFmtId="0" fontId="63" fillId="8" borderId="0" applyNumberFormat="0" applyBorder="0" applyAlignment="0" applyProtection="0"/>
    <xf numFmtId="0" fontId="64" fillId="9" borderId="0" applyNumberFormat="0" applyBorder="0" applyAlignment="0" applyProtection="0"/>
    <xf numFmtId="0" fontId="65" fillId="10" borderId="0" applyNumberFormat="0" applyBorder="0" applyAlignment="0" applyProtection="0"/>
    <xf numFmtId="0" fontId="66" fillId="11" borderId="0" applyNumberFormat="0" applyBorder="0" applyAlignment="0" applyProtection="0"/>
    <xf numFmtId="0" fontId="67" fillId="12" borderId="0" applyNumberFormat="0" applyBorder="0" applyAlignment="0" applyProtection="0"/>
    <xf numFmtId="0" fontId="67" fillId="13" borderId="0" applyNumberFormat="0" applyBorder="0" applyAlignment="0" applyProtection="0"/>
    <xf numFmtId="0" fontId="66" fillId="14" borderId="0" applyNumberFormat="0" applyBorder="0" applyAlignment="0" applyProtection="0"/>
    <xf numFmtId="0" fontId="66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7" borderId="0" applyNumberFormat="0" applyBorder="0" applyAlignment="0" applyProtection="0"/>
    <xf numFmtId="0" fontId="66" fillId="18" borderId="0" applyNumberFormat="0" applyBorder="0" applyAlignment="0" applyProtection="0"/>
    <xf numFmtId="0" fontId="66" fillId="19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6" fillId="22" borderId="0" applyNumberFormat="0" applyBorder="0" applyAlignment="0" applyProtection="0"/>
    <xf numFmtId="0" fontId="66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6" fillId="26" borderId="0" applyNumberFormat="0" applyBorder="0" applyAlignment="0" applyProtection="0"/>
    <xf numFmtId="0" fontId="66" fillId="27" borderId="0" applyNumberFormat="0" applyBorder="0" applyAlignment="0" applyProtection="0"/>
    <xf numFmtId="0" fontId="67" fillId="28" borderId="0" applyNumberFormat="0" applyBorder="0" applyAlignment="0" applyProtection="0"/>
    <xf numFmtId="0" fontId="67" fillId="29" borderId="0" applyNumberFormat="0" applyBorder="0" applyAlignment="0" applyProtection="0"/>
    <xf numFmtId="0" fontId="66" fillId="30" borderId="0" applyNumberFormat="0" applyBorder="0" applyAlignment="0" applyProtection="0"/>
    <xf numFmtId="0" fontId="66" fillId="31" borderId="0" applyNumberFormat="0" applyBorder="0" applyAlignment="0" applyProtection="0"/>
    <xf numFmtId="0" fontId="67" fillId="32" borderId="0" applyNumberFormat="0" applyBorder="0" applyAlignment="0" applyProtection="0"/>
    <xf numFmtId="0" fontId="67" fillId="33" borderId="0" applyNumberFormat="0" applyBorder="0" applyAlignment="0" applyProtection="0"/>
    <xf numFmtId="0" fontId="66" fillId="34" borderId="0" applyNumberFormat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</cellStyleXfs>
  <cellXfs count="354">
    <xf numFmtId="0" fontId="0" fillId="0" borderId="0" xfId="0" applyFont="1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0" fillId="0" borderId="0" xfId="0" applyFont="1" applyAlignment="1">
      <alignment horizontal="center" vertical="top"/>
      <protection locked="0"/>
    </xf>
    <xf numFmtId="49" fontId="0" fillId="0" borderId="0" xfId="0" applyNumberFormat="1" applyFont="1" applyAlignment="1">
      <alignment vertical="center"/>
      <protection locked="0"/>
    </xf>
    <xf numFmtId="49" fontId="0" fillId="0" borderId="0" xfId="0" applyNumberFormat="1" applyFont="1" applyAlignment="1">
      <alignment horizontal="center" vertical="center"/>
      <protection locked="0"/>
    </xf>
    <xf numFmtId="0" fontId="1" fillId="0" borderId="0" xfId="0" applyFont="1" applyAlignment="1">
      <alignment vertical="top"/>
      <protection locked="0"/>
    </xf>
    <xf numFmtId="0" fontId="2" fillId="0" borderId="0" xfId="0" applyFont="1" applyAlignment="1">
      <alignment horizontal="center" vertical="top"/>
      <protection locked="0"/>
    </xf>
    <xf numFmtId="0" fontId="3" fillId="0" borderId="0" xfId="0" applyFont="1" applyAlignment="1">
      <alignment horizontal="center" vertical="top" wrapText="1"/>
      <protection locked="0"/>
    </xf>
    <xf numFmtId="0" fontId="4" fillId="0" borderId="0" xfId="0" applyFont="1" applyAlignment="1">
      <alignment horizontal="center" vertical="top" wrapText="1"/>
      <protection locked="0"/>
    </xf>
    <xf numFmtId="49" fontId="4" fillId="0" borderId="0" xfId="0" applyNumberFormat="1" applyFont="1" applyAlignment="1">
      <alignment horizontal="center" vertical="center" wrapText="1"/>
      <protection locked="0"/>
    </xf>
    <xf numFmtId="3" fontId="0" fillId="0" borderId="0" xfId="0" applyNumberFormat="1" applyFont="1" applyAlignment="1">
      <alignment horizontal="center" vertical="top" wrapText="1"/>
      <protection locked="0"/>
    </xf>
    <xf numFmtId="49" fontId="0" fillId="0" borderId="0" xfId="0" applyNumberFormat="1" applyFont="1" applyAlignment="1">
      <alignment vertical="top" wrapText="1"/>
      <protection locked="0"/>
    </xf>
    <xf numFmtId="49" fontId="0" fillId="0" borderId="0" xfId="0" applyNumberFormat="1" applyFont="1" applyAlignment="1">
      <alignment horizontal="center" vertical="top" wrapText="1"/>
      <protection locked="0"/>
    </xf>
    <xf numFmtId="176" fontId="5" fillId="0" borderId="0" xfId="0" applyNumberFormat="1" applyFont="1" applyAlignment="1">
      <alignment horizontal="center" vertical="top" wrapText="1"/>
      <protection locked="0"/>
    </xf>
    <xf numFmtId="0" fontId="6" fillId="0" borderId="0" xfId="0" applyFont="1" applyAlignment="1">
      <alignment vertical="top"/>
      <protection locked="0"/>
    </xf>
    <xf numFmtId="0" fontId="4" fillId="2" borderId="0" xfId="0" applyFont="1" applyFill="1" applyAlignment="1">
      <alignment horizontal="center" vertical="center"/>
      <protection locked="0"/>
    </xf>
    <xf numFmtId="49" fontId="4" fillId="2" borderId="0" xfId="0" applyNumberFormat="1" applyFont="1" applyFill="1" applyAlignment="1">
      <alignment horizontal="center" vertical="center" wrapText="1"/>
      <protection locked="0"/>
    </xf>
    <xf numFmtId="49" fontId="6" fillId="0" borderId="0" xfId="0" applyNumberFormat="1" applyFont="1" applyAlignment="1">
      <alignment vertical="top" wrapText="1"/>
      <protection locked="0"/>
    </xf>
    <xf numFmtId="49" fontId="2" fillId="0" borderId="0" xfId="0" applyNumberFormat="1" applyFont="1" applyAlignment="1">
      <alignment horizontal="center" vertical="top" wrapText="1"/>
      <protection locked="0"/>
    </xf>
    <xf numFmtId="49" fontId="4" fillId="2" borderId="1" xfId="0" applyNumberFormat="1" applyFont="1" applyFill="1" applyBorder="1" applyAlignment="1">
      <alignment horizontal="center" vertical="center" wrapText="1"/>
      <protection locked="0"/>
    </xf>
    <xf numFmtId="49" fontId="4" fillId="2" borderId="2" xfId="0" applyNumberFormat="1" applyFont="1" applyFill="1" applyBorder="1" applyAlignment="1">
      <alignment horizontal="center" vertical="center" wrapText="1"/>
      <protection locked="0"/>
    </xf>
    <xf numFmtId="49" fontId="4" fillId="2" borderId="3" xfId="0" applyNumberFormat="1" applyFont="1" applyFill="1" applyBorder="1" applyAlignment="1">
      <alignment horizontal="center" vertical="center" wrapText="1"/>
      <protection locked="0"/>
    </xf>
    <xf numFmtId="49" fontId="4" fillId="2" borderId="4" xfId="0" applyNumberFormat="1" applyFont="1" applyFill="1" applyBorder="1" applyAlignment="1">
      <alignment horizontal="center" vertical="center" wrapText="1"/>
      <protection locked="0"/>
    </xf>
    <xf numFmtId="49" fontId="7" fillId="2" borderId="5" xfId="0" applyNumberFormat="1" applyFont="1" applyFill="1" applyBorder="1" applyAlignment="1">
      <alignment horizontal="center" vertical="top" wrapText="1"/>
      <protection locked="0"/>
    </xf>
    <xf numFmtId="0" fontId="7" fillId="2" borderId="6" xfId="0" applyFont="1" applyFill="1" applyBorder="1" applyAlignment="1">
      <alignment horizontal="center" vertical="top" wrapText="1"/>
      <protection locked="0"/>
    </xf>
    <xf numFmtId="49" fontId="7" fillId="2" borderId="6" xfId="0" applyNumberFormat="1" applyFont="1" applyFill="1" applyBorder="1" applyAlignment="1">
      <alignment horizontal="center" vertical="top" wrapText="1"/>
      <protection locked="0"/>
    </xf>
    <xf numFmtId="49" fontId="8" fillId="0" borderId="7" xfId="0" applyNumberFormat="1" applyFont="1" applyBorder="1" applyAlignment="1">
      <alignment horizontal="center" vertical="top" wrapText="1"/>
      <protection locked="0"/>
    </xf>
    <xf numFmtId="0" fontId="8" fillId="0" borderId="8" xfId="0" applyFont="1" applyBorder="1" applyAlignment="1">
      <alignment vertical="top" wrapText="1"/>
      <protection locked="0"/>
    </xf>
    <xf numFmtId="0" fontId="8" fillId="0" borderId="8" xfId="0" applyFont="1" applyBorder="1" applyAlignment="1">
      <alignment horizontal="center" vertical="top" wrapText="1"/>
      <protection locked="0"/>
    </xf>
    <xf numFmtId="177" fontId="8" fillId="0" borderId="8" xfId="0" applyNumberFormat="1" applyFont="1" applyBorder="1" applyAlignment="1">
      <alignment vertical="top" wrapText="1"/>
      <protection locked="0"/>
    </xf>
    <xf numFmtId="178" fontId="8" fillId="0" borderId="8" xfId="0" applyNumberFormat="1" applyFont="1" applyBorder="1" applyAlignment="1">
      <alignment vertical="top" wrapText="1"/>
      <protection locked="0"/>
    </xf>
    <xf numFmtId="179" fontId="8" fillId="0" borderId="8" xfId="0" applyNumberFormat="1" applyFont="1" applyBorder="1" applyAlignment="1">
      <alignment horizontal="center" vertical="top" wrapText="1"/>
      <protection locked="0"/>
    </xf>
    <xf numFmtId="49" fontId="9" fillId="0" borderId="7" xfId="0" applyNumberFormat="1" applyFont="1" applyBorder="1" applyAlignment="1">
      <alignment vertical="top" wrapText="1"/>
      <protection locked="0"/>
    </xf>
    <xf numFmtId="0" fontId="9" fillId="0" borderId="8" xfId="0" applyFont="1" applyBorder="1" applyAlignment="1">
      <alignment horizontal="center" vertical="top" wrapText="1"/>
      <protection locked="0"/>
    </xf>
    <xf numFmtId="0" fontId="9" fillId="0" borderId="8" xfId="0" applyFont="1" applyBorder="1" applyAlignment="1">
      <alignment vertical="top" wrapText="1"/>
      <protection locked="0"/>
    </xf>
    <xf numFmtId="177" fontId="9" fillId="0" borderId="8" xfId="0" applyNumberFormat="1" applyFont="1" applyBorder="1" applyAlignment="1">
      <alignment vertical="top" wrapText="1"/>
      <protection locked="0"/>
    </xf>
    <xf numFmtId="178" fontId="9" fillId="0" borderId="8" xfId="0" applyNumberFormat="1" applyFont="1" applyBorder="1" applyAlignment="1">
      <alignment vertical="top" wrapText="1"/>
      <protection locked="0"/>
    </xf>
    <xf numFmtId="179" fontId="9" fillId="0" borderId="8" xfId="0" applyNumberFormat="1" applyFont="1" applyBorder="1" applyAlignment="1">
      <alignment vertical="top" wrapText="1"/>
      <protection locked="0"/>
    </xf>
    <xf numFmtId="49" fontId="10" fillId="0" borderId="9" xfId="0" applyNumberFormat="1" applyFont="1" applyBorder="1" applyAlignment="1">
      <alignment horizontal="center" vertical="center" wrapText="1"/>
      <protection locked="0"/>
    </xf>
    <xf numFmtId="0" fontId="6" fillId="0" borderId="10" xfId="0" applyFont="1" applyBorder="1" applyAlignment="1">
      <alignment vertical="top" wrapText="1"/>
      <protection locked="0"/>
    </xf>
    <xf numFmtId="0" fontId="6" fillId="0" borderId="10" xfId="0" applyFont="1" applyBorder="1" applyAlignment="1">
      <alignment vertical="top"/>
      <protection locked="0"/>
    </xf>
    <xf numFmtId="0" fontId="6" fillId="0" borderId="6" xfId="0" applyFont="1" applyBorder="1" applyAlignment="1">
      <alignment vertical="top"/>
      <protection locked="0"/>
    </xf>
    <xf numFmtId="0" fontId="4" fillId="2" borderId="11" xfId="0" applyFont="1" applyFill="1" applyBorder="1" applyAlignment="1">
      <alignment horizontal="center" vertical="center"/>
      <protection locked="0"/>
    </xf>
    <xf numFmtId="0" fontId="4" fillId="2" borderId="4" xfId="0" applyFont="1" applyFill="1" applyBorder="1" applyAlignment="1">
      <alignment horizontal="center" vertical="center"/>
      <protection locked="0"/>
    </xf>
    <xf numFmtId="0" fontId="11" fillId="0" borderId="7" xfId="0" applyFont="1" applyBorder="1" applyAlignment="1">
      <alignment horizontal="center" vertical="top"/>
      <protection locked="0"/>
    </xf>
    <xf numFmtId="0" fontId="11" fillId="0" borderId="8" xfId="0" applyFont="1" applyBorder="1" applyAlignment="1">
      <alignment vertical="top" wrapText="1"/>
      <protection locked="0"/>
    </xf>
    <xf numFmtId="0" fontId="11" fillId="0" borderId="8" xfId="0" applyFont="1" applyBorder="1" applyAlignment="1">
      <alignment horizontal="center" vertical="top" wrapText="1"/>
      <protection locked="0"/>
    </xf>
    <xf numFmtId="0" fontId="6" fillId="0" borderId="8" xfId="0" applyFont="1" applyBorder="1" applyAlignment="1">
      <alignment horizontal="center" vertical="top" wrapText="1"/>
      <protection locked="0"/>
    </xf>
    <xf numFmtId="0" fontId="11" fillId="0" borderId="8" xfId="0" applyFont="1" applyBorder="1" applyAlignment="1">
      <alignment vertical="top"/>
      <protection locked="0"/>
    </xf>
    <xf numFmtId="0" fontId="11" fillId="0" borderId="8" xfId="0" applyFont="1" applyBorder="1" applyAlignment="1">
      <alignment horizontal="center" vertical="top"/>
      <protection locked="0"/>
    </xf>
    <xf numFmtId="3" fontId="11" fillId="0" borderId="8" xfId="0" applyNumberFormat="1" applyFont="1" applyBorder="1" applyAlignment="1">
      <alignment vertical="top" wrapText="1"/>
      <protection locked="0"/>
    </xf>
    <xf numFmtId="0" fontId="12" fillId="0" borderId="7" xfId="0" applyFont="1" applyBorder="1" applyAlignment="1">
      <alignment horizontal="center" vertical="top"/>
      <protection locked="0"/>
    </xf>
    <xf numFmtId="0" fontId="12" fillId="0" borderId="8" xfId="0" applyFont="1" applyBorder="1" applyAlignment="1">
      <alignment vertical="top" wrapText="1"/>
      <protection locked="0"/>
    </xf>
    <xf numFmtId="0" fontId="12" fillId="0" borderId="8" xfId="0" applyFont="1" applyBorder="1" applyAlignment="1">
      <alignment horizontal="center" vertical="top" wrapText="1"/>
      <protection locked="0"/>
    </xf>
    <xf numFmtId="0" fontId="12" fillId="0" borderId="8" xfId="0" applyFont="1" applyBorder="1" applyAlignment="1">
      <alignment vertical="top"/>
      <protection locked="0"/>
    </xf>
    <xf numFmtId="0" fontId="12" fillId="0" borderId="8" xfId="0" applyFont="1" applyBorder="1" applyAlignment="1">
      <alignment horizontal="center" vertical="top"/>
      <protection locked="0"/>
    </xf>
    <xf numFmtId="3" fontId="12" fillId="0" borderId="8" xfId="0" applyNumberFormat="1" applyFont="1" applyBorder="1" applyAlignment="1">
      <alignment vertical="top" wrapText="1"/>
      <protection locked="0"/>
    </xf>
    <xf numFmtId="0" fontId="13" fillId="0" borderId="7" xfId="0" applyFont="1" applyBorder="1" applyAlignment="1">
      <alignment horizontal="center" vertical="top"/>
      <protection locked="0"/>
    </xf>
    <xf numFmtId="0" fontId="13" fillId="0" borderId="8" xfId="0" applyFont="1" applyBorder="1" applyAlignment="1">
      <alignment vertical="top" wrapText="1"/>
      <protection locked="0"/>
    </xf>
    <xf numFmtId="0" fontId="13" fillId="0" borderId="8" xfId="0" applyFont="1" applyBorder="1" applyAlignment="1">
      <alignment horizontal="center" vertical="top" wrapText="1"/>
      <protection locked="0"/>
    </xf>
    <xf numFmtId="0" fontId="13" fillId="0" borderId="8" xfId="0" applyFont="1" applyBorder="1" applyAlignment="1">
      <alignment vertical="top"/>
      <protection locked="0"/>
    </xf>
    <xf numFmtId="0" fontId="13" fillId="0" borderId="8" xfId="0" applyFont="1" applyBorder="1" applyAlignment="1">
      <alignment horizontal="center" vertical="top"/>
      <protection locked="0"/>
    </xf>
    <xf numFmtId="3" fontId="13" fillId="0" borderId="8" xfId="0" applyNumberFormat="1" applyFont="1" applyBorder="1" applyAlignment="1">
      <alignment vertical="top" wrapText="1"/>
      <protection locked="0"/>
    </xf>
    <xf numFmtId="49" fontId="12" fillId="0" borderId="8" xfId="0" applyNumberFormat="1" applyFont="1" applyBorder="1" applyAlignment="1">
      <alignment horizontal="center" vertical="top" wrapText="1"/>
      <protection locked="0"/>
    </xf>
    <xf numFmtId="49" fontId="11" fillId="0" borderId="8" xfId="0" applyNumberFormat="1" applyFont="1" applyBorder="1" applyAlignment="1">
      <alignment horizontal="center" vertical="top" wrapText="1"/>
      <protection locked="0"/>
    </xf>
    <xf numFmtId="0" fontId="10" fillId="0" borderId="7" xfId="0" applyFont="1" applyBorder="1" applyAlignment="1">
      <alignment horizontal="center" vertical="top"/>
      <protection locked="0"/>
    </xf>
    <xf numFmtId="0" fontId="10" fillId="0" borderId="8" xfId="0" applyFont="1" applyBorder="1" applyAlignment="1">
      <alignment vertical="top" wrapText="1"/>
      <protection locked="0"/>
    </xf>
    <xf numFmtId="0" fontId="10" fillId="0" borderId="8" xfId="0" applyFont="1" applyBorder="1" applyAlignment="1">
      <alignment horizontal="center" vertical="top" wrapText="1"/>
      <protection locked="0"/>
    </xf>
    <xf numFmtId="0" fontId="10" fillId="0" borderId="8" xfId="0" applyFont="1" applyBorder="1" applyAlignment="1">
      <alignment vertical="top"/>
      <protection locked="0"/>
    </xf>
    <xf numFmtId="49" fontId="10" fillId="0" borderId="8" xfId="0" applyNumberFormat="1" applyFont="1" applyBorder="1" applyAlignment="1">
      <alignment horizontal="center" vertical="top" wrapText="1"/>
      <protection locked="0"/>
    </xf>
    <xf numFmtId="3" fontId="10" fillId="0" borderId="8" xfId="0" applyNumberFormat="1" applyFont="1" applyBorder="1" applyAlignment="1">
      <alignment vertical="top" wrapText="1"/>
      <protection locked="0"/>
    </xf>
    <xf numFmtId="180" fontId="11" fillId="0" borderId="8" xfId="0" applyNumberFormat="1" applyFont="1" applyBorder="1" applyAlignment="1">
      <alignment vertical="top" wrapText="1"/>
      <protection locked="0"/>
    </xf>
    <xf numFmtId="180" fontId="11" fillId="0" borderId="8" xfId="0" applyNumberFormat="1" applyFont="1" applyBorder="1" applyAlignment="1">
      <alignment horizontal="center" vertical="top" wrapText="1"/>
      <protection locked="0"/>
    </xf>
    <xf numFmtId="0" fontId="3" fillId="0" borderId="7" xfId="0" applyFont="1" applyBorder="1" applyAlignment="1">
      <alignment horizontal="center" vertical="top"/>
      <protection locked="0"/>
    </xf>
    <xf numFmtId="0" fontId="3" fillId="0" borderId="8" xfId="0" applyFont="1" applyBorder="1" applyAlignment="1">
      <alignment vertical="top" wrapText="1"/>
      <protection locked="0"/>
    </xf>
    <xf numFmtId="0" fontId="3" fillId="0" borderId="8" xfId="0" applyFont="1" applyBorder="1" applyAlignment="1">
      <alignment horizontal="center" vertical="top" wrapText="1"/>
      <protection locked="0"/>
    </xf>
    <xf numFmtId="0" fontId="3" fillId="0" borderId="8" xfId="0" applyFont="1" applyBorder="1" applyAlignment="1">
      <alignment vertical="top"/>
      <protection locked="0"/>
    </xf>
    <xf numFmtId="0" fontId="3" fillId="0" borderId="8" xfId="0" applyFont="1" applyBorder="1" applyAlignment="1">
      <alignment horizontal="center" vertical="top"/>
      <protection locked="0"/>
    </xf>
    <xf numFmtId="3" fontId="3" fillId="0" borderId="8" xfId="0" applyNumberFormat="1" applyFont="1" applyBorder="1" applyAlignment="1">
      <alignment vertical="top" wrapText="1"/>
      <protection locked="0"/>
    </xf>
    <xf numFmtId="0" fontId="14" fillId="0" borderId="7" xfId="0" applyFont="1" applyBorder="1" applyAlignment="1">
      <alignment horizontal="center" vertical="center"/>
      <protection locked="0"/>
    </xf>
    <xf numFmtId="0" fontId="14" fillId="0" borderId="8" xfId="0" applyFont="1" applyBorder="1" applyAlignment="1">
      <alignment horizontal="center" vertical="center" wrapText="1"/>
      <protection locked="0"/>
    </xf>
    <xf numFmtId="0" fontId="15" fillId="0" borderId="8" xfId="0" applyFont="1" applyBorder="1" applyAlignment="1">
      <alignment horizontal="center" vertical="center" wrapText="1"/>
      <protection locked="0"/>
    </xf>
    <xf numFmtId="0" fontId="14" fillId="0" borderId="8" xfId="0" applyFont="1" applyBorder="1" applyAlignment="1">
      <alignment vertical="center"/>
      <protection locked="0"/>
    </xf>
    <xf numFmtId="0" fontId="14" fillId="0" borderId="8" xfId="0" applyFont="1" applyBorder="1" applyAlignment="1">
      <alignment horizontal="center" vertical="center"/>
      <protection locked="0"/>
    </xf>
    <xf numFmtId="3" fontId="14" fillId="0" borderId="8" xfId="0" applyNumberFormat="1" applyFont="1" applyBorder="1" applyAlignment="1">
      <alignment vertical="center" wrapText="1"/>
      <protection locked="0"/>
    </xf>
    <xf numFmtId="0" fontId="0" fillId="0" borderId="10" xfId="0" applyFont="1" applyBorder="1" applyAlignment="1">
      <alignment vertical="center" wrapText="1"/>
      <protection locked="0"/>
    </xf>
    <xf numFmtId="0" fontId="0" fillId="0" borderId="10" xfId="0" applyFont="1" applyBorder="1" applyAlignment="1">
      <alignment horizontal="center" vertical="center" wrapText="1"/>
      <protection locked="0"/>
    </xf>
    <xf numFmtId="0" fontId="6" fillId="0" borderId="10" xfId="0" applyFont="1" applyBorder="1" applyAlignment="1">
      <alignment horizontal="center" vertical="center" wrapText="1"/>
      <protection locked="0"/>
    </xf>
    <xf numFmtId="0" fontId="0" fillId="0" borderId="10" xfId="0" applyFont="1" applyBorder="1" applyAlignment="1">
      <alignment vertical="center"/>
      <protection locked="0"/>
    </xf>
    <xf numFmtId="0" fontId="0" fillId="0" borderId="10" xfId="0" applyFont="1" applyBorder="1" applyAlignment="1">
      <alignment horizontal="center" vertical="center"/>
      <protection locked="0"/>
    </xf>
    <xf numFmtId="3" fontId="0" fillId="0" borderId="6" xfId="0" applyNumberFormat="1" applyFont="1" applyBorder="1" applyAlignment="1">
      <alignment vertical="center" wrapText="1"/>
      <protection locked="0"/>
    </xf>
    <xf numFmtId="0" fontId="0" fillId="0" borderId="0" xfId="0" applyFont="1" applyAlignment="1">
      <alignment vertical="top" wrapText="1"/>
      <protection locked="0"/>
    </xf>
    <xf numFmtId="0" fontId="4" fillId="2" borderId="4" xfId="0" applyFont="1" applyFill="1" applyBorder="1" applyAlignment="1">
      <alignment horizontal="center" vertical="center" wrapText="1"/>
      <protection locked="0"/>
    </xf>
    <xf numFmtId="0" fontId="6" fillId="0" borderId="0" xfId="0" applyFont="1" applyAlignment="1" applyProtection="1">
      <alignment vertical="top"/>
    </xf>
    <xf numFmtId="0" fontId="2" fillId="0" borderId="0" xfId="0" applyFont="1" applyAlignment="1" applyProtection="1">
      <alignment horizontal="center" vertical="top"/>
    </xf>
    <xf numFmtId="0" fontId="3" fillId="0" borderId="0" xfId="0" applyFont="1" applyAlignment="1" applyProtection="1">
      <alignment horizontal="center" vertical="top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  <protection locked="0"/>
    </xf>
    <xf numFmtId="0" fontId="4" fillId="2" borderId="5" xfId="0" applyFont="1" applyFill="1" applyBorder="1" applyAlignment="1" applyProtection="1">
      <alignment horizontal="center"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  <protection locked="0"/>
    </xf>
    <xf numFmtId="49" fontId="6" fillId="0" borderId="7" xfId="0" applyNumberFormat="1" applyFont="1" applyBorder="1" applyAlignment="1" applyProtection="1">
      <alignment horizontal="center" vertical="top" wrapText="1"/>
    </xf>
    <xf numFmtId="0" fontId="6" fillId="0" borderId="8" xfId="0" applyFont="1" applyBorder="1" applyAlignment="1" applyProtection="1">
      <alignment horizontal="center" vertical="top" wrapText="1"/>
    </xf>
    <xf numFmtId="0" fontId="6" fillId="0" borderId="8" xfId="0" applyFont="1" applyBorder="1" applyAlignment="1">
      <alignment vertical="top" wrapText="1"/>
      <protection locked="0"/>
    </xf>
    <xf numFmtId="181" fontId="6" fillId="0" borderId="8" xfId="0" applyNumberFormat="1" applyFont="1" applyBorder="1" applyAlignment="1" applyProtection="1">
      <alignment vertical="top" wrapText="1"/>
    </xf>
    <xf numFmtId="49" fontId="16" fillId="0" borderId="8" xfId="0" applyNumberFormat="1" applyFont="1" applyBorder="1" applyAlignment="1">
      <alignment horizontal="center" vertical="top" wrapText="1"/>
      <protection locked="0"/>
    </xf>
    <xf numFmtId="0" fontId="6" fillId="0" borderId="8" xfId="0" applyFont="1" applyBorder="1" applyAlignment="1">
      <alignment horizontal="center" vertical="top"/>
      <protection locked="0"/>
    </xf>
    <xf numFmtId="181" fontId="6" fillId="0" borderId="8" xfId="0" applyNumberFormat="1" applyFont="1" applyBorder="1" applyAlignment="1">
      <alignment vertical="top" wrapText="1"/>
      <protection locked="0"/>
    </xf>
    <xf numFmtId="49" fontId="6" fillId="0" borderId="5" xfId="0" applyNumberFormat="1" applyFont="1" applyBorder="1" applyAlignment="1" applyProtection="1">
      <alignment horizontal="center" vertical="top" wrapText="1"/>
    </xf>
    <xf numFmtId="0" fontId="6" fillId="0" borderId="6" xfId="0" applyFont="1" applyBorder="1" applyAlignment="1" applyProtection="1">
      <alignment horizontal="center" vertical="top" wrapText="1"/>
    </xf>
    <xf numFmtId="0" fontId="6" fillId="0" borderId="6" xfId="0" applyFont="1" applyBorder="1" applyAlignment="1">
      <alignment vertical="top" wrapText="1"/>
      <protection locked="0"/>
    </xf>
    <xf numFmtId="181" fontId="6" fillId="0" borderId="6" xfId="0" applyNumberFormat="1" applyFont="1" applyBorder="1" applyAlignment="1" applyProtection="1">
      <alignment vertical="top" wrapText="1"/>
    </xf>
    <xf numFmtId="49" fontId="16" fillId="0" borderId="6" xfId="0" applyNumberFormat="1" applyFont="1" applyBorder="1" applyAlignment="1">
      <alignment horizontal="center" vertical="top" wrapText="1"/>
      <protection locked="0"/>
    </xf>
    <xf numFmtId="0" fontId="6" fillId="0" borderId="6" xfId="0" applyFont="1" applyBorder="1" applyAlignment="1">
      <alignment horizontal="center" vertical="top"/>
      <protection locked="0"/>
    </xf>
    <xf numFmtId="181" fontId="6" fillId="0" borderId="6" xfId="0" applyNumberFormat="1" applyFont="1" applyBorder="1" applyAlignment="1">
      <alignment vertical="top" wrapText="1"/>
      <protection locked="0"/>
    </xf>
    <xf numFmtId="0" fontId="4" fillId="2" borderId="3" xfId="0" applyFont="1" applyFill="1" applyBorder="1" applyAlignment="1">
      <alignment horizontal="center" vertical="center" wrapText="1"/>
      <protection locked="0"/>
    </xf>
    <xf numFmtId="182" fontId="6" fillId="0" borderId="8" xfId="0" applyNumberFormat="1" applyFont="1" applyBorder="1" applyAlignment="1">
      <alignment vertical="top" wrapText="1"/>
      <protection locked="0"/>
    </xf>
    <xf numFmtId="183" fontId="6" fillId="0" borderId="8" xfId="0" applyNumberFormat="1" applyFont="1" applyBorder="1" applyAlignment="1">
      <alignment vertical="top" wrapText="1"/>
      <protection locked="0"/>
    </xf>
    <xf numFmtId="3" fontId="6" fillId="0" borderId="8" xfId="0" applyNumberFormat="1" applyFont="1" applyBorder="1" applyAlignment="1">
      <alignment vertical="top" wrapText="1"/>
      <protection locked="0"/>
    </xf>
    <xf numFmtId="182" fontId="6" fillId="0" borderId="6" xfId="0" applyNumberFormat="1" applyFont="1" applyBorder="1" applyAlignment="1">
      <alignment vertical="top" wrapText="1"/>
      <protection locked="0"/>
    </xf>
    <xf numFmtId="183" fontId="6" fillId="0" borderId="6" xfId="0" applyNumberFormat="1" applyFont="1" applyBorder="1" applyAlignment="1">
      <alignment vertical="top" wrapText="1"/>
      <protection locked="0"/>
    </xf>
    <xf numFmtId="3" fontId="6" fillId="0" borderId="6" xfId="0" applyNumberFormat="1" applyFont="1" applyBorder="1" applyAlignment="1">
      <alignment vertical="top" wrapText="1"/>
      <protection locked="0"/>
    </xf>
    <xf numFmtId="3" fontId="6" fillId="0" borderId="8" xfId="0" applyNumberFormat="1" applyFont="1" applyBorder="1" applyAlignment="1" applyProtection="1">
      <alignment vertical="top" wrapText="1"/>
    </xf>
    <xf numFmtId="3" fontId="6" fillId="0" borderId="6" xfId="0" applyNumberFormat="1" applyFont="1" applyBorder="1" applyAlignment="1" applyProtection="1">
      <alignment vertical="top" wrapText="1"/>
    </xf>
    <xf numFmtId="182" fontId="6" fillId="0" borderId="8" xfId="0" applyNumberFormat="1" applyFont="1" applyBorder="1" applyAlignment="1" applyProtection="1">
      <alignment vertical="top" wrapText="1"/>
    </xf>
    <xf numFmtId="182" fontId="6" fillId="0" borderId="6" xfId="0" applyNumberFormat="1" applyFont="1" applyBorder="1" applyAlignment="1" applyProtection="1">
      <alignment vertical="top" wrapText="1"/>
    </xf>
    <xf numFmtId="181" fontId="6" fillId="0" borderId="8" xfId="0" applyNumberFormat="1" applyFont="1" applyBorder="1" applyAlignment="1">
      <alignment horizontal="center" vertical="top" wrapText="1"/>
      <protection locked="0"/>
    </xf>
    <xf numFmtId="49" fontId="6" fillId="0" borderId="8" xfId="0" applyNumberFormat="1" applyFont="1" applyBorder="1" applyAlignment="1">
      <alignment vertical="top" wrapText="1"/>
      <protection locked="0"/>
    </xf>
    <xf numFmtId="181" fontId="6" fillId="0" borderId="6" xfId="0" applyNumberFormat="1" applyFont="1" applyBorder="1" applyAlignment="1">
      <alignment horizontal="center" vertical="top" wrapText="1"/>
      <protection locked="0"/>
    </xf>
    <xf numFmtId="49" fontId="6" fillId="0" borderId="6" xfId="0" applyNumberFormat="1" applyFont="1" applyBorder="1" applyAlignment="1">
      <alignment vertical="top" wrapText="1"/>
      <protection locked="0"/>
    </xf>
    <xf numFmtId="49" fontId="6" fillId="0" borderId="8" xfId="0" applyNumberFormat="1" applyFont="1" applyBorder="1" applyAlignment="1">
      <alignment horizontal="center" vertical="top" wrapText="1"/>
      <protection locked="0"/>
    </xf>
    <xf numFmtId="49" fontId="6" fillId="0" borderId="6" xfId="0" applyNumberFormat="1" applyFont="1" applyBorder="1" applyAlignment="1">
      <alignment horizontal="center" vertical="top" wrapText="1"/>
      <protection locked="0"/>
    </xf>
    <xf numFmtId="0" fontId="17" fillId="0" borderId="0" xfId="0" applyFont="1" applyFill="1" applyBorder="1" applyAlignment="1">
      <alignment vertical="top"/>
      <protection locked="0"/>
    </xf>
    <xf numFmtId="0" fontId="18" fillId="0" borderId="0" xfId="0" applyFont="1" applyFill="1" applyBorder="1" applyAlignment="1">
      <alignment horizontal="center" vertical="top"/>
      <protection locked="0"/>
    </xf>
    <xf numFmtId="0" fontId="19" fillId="0" borderId="0" xfId="0" applyFont="1" applyFill="1" applyBorder="1" applyAlignment="1">
      <alignment vertical="top"/>
      <protection locked="0"/>
    </xf>
    <xf numFmtId="0" fontId="20" fillId="0" borderId="0" xfId="0" applyFont="1" applyFill="1" applyBorder="1" applyAlignment="1">
      <alignment horizontal="center" vertical="top" wrapText="1"/>
      <protection locked="0"/>
    </xf>
    <xf numFmtId="0" fontId="21" fillId="0" borderId="0" xfId="0" applyFont="1" applyFill="1" applyBorder="1" applyAlignment="1">
      <alignment vertical="top"/>
      <protection locked="0"/>
    </xf>
    <xf numFmtId="0" fontId="22" fillId="0" borderId="0" xfId="0" applyFont="1" applyFill="1" applyBorder="1" applyAlignment="1">
      <alignment horizontal="center" vertical="top" wrapText="1"/>
      <protection locked="0"/>
    </xf>
    <xf numFmtId="0" fontId="4" fillId="0" borderId="0" xfId="0" applyFont="1" applyFill="1" applyBorder="1" applyAlignment="1">
      <alignment horizontal="center" vertical="center"/>
      <protection locked="0"/>
    </xf>
    <xf numFmtId="0" fontId="23" fillId="0" borderId="0" xfId="0" applyFont="1" applyFill="1" applyBorder="1" applyAlignment="1">
      <alignment horizontal="center" vertical="top"/>
      <protection locked="0"/>
    </xf>
    <xf numFmtId="0" fontId="23" fillId="0" borderId="0" xfId="0" applyFont="1" applyFill="1" applyBorder="1" applyAlignment="1">
      <alignment horizontal="center" vertical="top" wrapText="1"/>
      <protection locked="0"/>
    </xf>
    <xf numFmtId="181" fontId="23" fillId="0" borderId="0" xfId="0" applyNumberFormat="1" applyFont="1" applyFill="1" applyBorder="1" applyAlignment="1">
      <alignment horizontal="center" vertical="top" wrapText="1"/>
      <protection locked="0"/>
    </xf>
    <xf numFmtId="3" fontId="23" fillId="0" borderId="0" xfId="0" applyNumberFormat="1" applyFont="1" applyFill="1" applyBorder="1" applyAlignment="1">
      <alignment horizontal="center" vertical="top" wrapText="1"/>
      <protection locked="0"/>
    </xf>
    <xf numFmtId="0" fontId="6" fillId="0" borderId="0" xfId="0" applyFont="1" applyFill="1" applyBorder="1" applyAlignment="1">
      <alignment horizontal="center" vertical="top"/>
      <protection locked="0"/>
    </xf>
    <xf numFmtId="0" fontId="6" fillId="0" borderId="0" xfId="0" applyFont="1" applyFill="1" applyBorder="1" applyAlignment="1">
      <alignment horizontal="center" vertical="top" wrapText="1"/>
      <protection locked="0"/>
    </xf>
    <xf numFmtId="0" fontId="6" fillId="0" borderId="0" xfId="0" applyFont="1" applyFill="1" applyBorder="1" applyAlignment="1">
      <alignment vertical="top" wrapText="1"/>
      <protection locked="0"/>
    </xf>
    <xf numFmtId="181" fontId="6" fillId="0" borderId="0" xfId="0" applyNumberFormat="1" applyFont="1" applyFill="1" applyBorder="1" applyAlignment="1">
      <alignment vertical="top" wrapText="1"/>
      <protection locked="0"/>
    </xf>
    <xf numFmtId="3" fontId="6" fillId="0" borderId="0" xfId="0" applyNumberFormat="1" applyFont="1" applyFill="1" applyBorder="1" applyAlignment="1">
      <alignment vertical="top" wrapText="1"/>
      <protection locked="0"/>
    </xf>
    <xf numFmtId="0" fontId="23" fillId="0" borderId="0" xfId="0" applyFont="1" applyFill="1" applyBorder="1" applyAlignment="1">
      <alignment vertical="top" wrapText="1"/>
      <protection locked="0"/>
    </xf>
    <xf numFmtId="181" fontId="23" fillId="0" borderId="0" xfId="0" applyNumberFormat="1" applyFont="1" applyFill="1" applyBorder="1" applyAlignment="1">
      <alignment vertical="top" wrapText="1"/>
      <protection locked="0"/>
    </xf>
    <xf numFmtId="3" fontId="23" fillId="0" borderId="0" xfId="0" applyNumberFormat="1" applyFont="1" applyFill="1" applyBorder="1" applyAlignment="1">
      <alignment vertical="top" wrapText="1"/>
      <protection locked="0"/>
    </xf>
    <xf numFmtId="0" fontId="20" fillId="0" borderId="0" xfId="0" applyFont="1" applyFill="1" applyBorder="1" applyAlignment="1">
      <alignment horizontal="center" vertical="center" wrapText="1"/>
      <protection locked="0"/>
    </xf>
    <xf numFmtId="0" fontId="21" fillId="0" borderId="0" xfId="0" applyFont="1" applyFill="1" applyBorder="1" applyAlignment="1">
      <alignment vertical="center"/>
      <protection locked="0"/>
    </xf>
    <xf numFmtId="0" fontId="22" fillId="0" borderId="0" xfId="0" applyFont="1" applyFill="1" applyBorder="1" applyAlignment="1">
      <alignment horizontal="center" vertical="center" wrapText="1"/>
      <protection locked="0"/>
    </xf>
    <xf numFmtId="0" fontId="4" fillId="0" borderId="0" xfId="0" applyFont="1" applyFill="1" applyBorder="1" applyAlignment="1">
      <alignment horizontal="center" vertical="center" wrapText="1"/>
      <protection locked="0"/>
    </xf>
    <xf numFmtId="182" fontId="23" fillId="0" borderId="0" xfId="0" applyNumberFormat="1" applyFont="1" applyFill="1" applyBorder="1" applyAlignment="1">
      <alignment horizontal="center" vertical="top" wrapText="1"/>
      <protection locked="0"/>
    </xf>
    <xf numFmtId="182" fontId="6" fillId="0" borderId="0" xfId="0" applyNumberFormat="1" applyFont="1" applyFill="1" applyBorder="1" applyAlignment="1">
      <alignment vertical="top" wrapText="1"/>
      <protection locked="0"/>
    </xf>
    <xf numFmtId="182" fontId="23" fillId="0" borderId="0" xfId="0" applyNumberFormat="1" applyFont="1" applyFill="1" applyBorder="1" applyAlignment="1">
      <alignment vertical="top" wrapText="1"/>
      <protection locked="0"/>
    </xf>
    <xf numFmtId="0" fontId="6" fillId="0" borderId="0" xfId="0" applyFont="1" applyFill="1" applyBorder="1" applyAlignment="1">
      <alignment vertical="top"/>
      <protection locked="0"/>
    </xf>
    <xf numFmtId="0" fontId="24" fillId="0" borderId="0" xfId="0" applyFont="1" applyFill="1" applyBorder="1" applyAlignment="1">
      <alignment horizontal="centerContinuous" vertical="top"/>
      <protection locked="0"/>
    </xf>
    <xf numFmtId="0" fontId="25" fillId="0" borderId="0" xfId="0" applyFont="1" applyFill="1" applyBorder="1" applyAlignment="1">
      <alignment horizontal="centerContinuous" vertical="top"/>
      <protection locked="0"/>
    </xf>
    <xf numFmtId="0" fontId="20" fillId="0" borderId="0" xfId="0" applyFont="1" applyFill="1" applyBorder="1" applyAlignment="1">
      <alignment horizontal="centerContinuous" vertical="top" wrapText="1"/>
      <protection locked="0"/>
    </xf>
    <xf numFmtId="0" fontId="26" fillId="0" borderId="0" xfId="0" applyFont="1" applyFill="1" applyBorder="1" applyAlignment="1">
      <alignment horizontal="centerContinuous" vertical="top"/>
      <protection locked="0"/>
    </xf>
    <xf numFmtId="0" fontId="22" fillId="0" borderId="0" xfId="0" applyFont="1" applyFill="1" applyBorder="1" applyAlignment="1">
      <alignment horizontal="centerContinuous" vertical="top" wrapText="1"/>
      <protection locked="0"/>
    </xf>
    <xf numFmtId="0" fontId="26" fillId="0" borderId="0" xfId="0" applyFont="1" applyFill="1" applyBorder="1" applyAlignment="1">
      <alignment vertical="top"/>
      <protection locked="0"/>
    </xf>
    <xf numFmtId="0" fontId="27" fillId="0" borderId="0" xfId="0" applyFont="1" applyFill="1" applyBorder="1" applyAlignment="1">
      <alignment horizontal="center" vertical="top"/>
      <protection locked="0"/>
    </xf>
    <xf numFmtId="0" fontId="27" fillId="0" borderId="0" xfId="0" applyFont="1" applyFill="1" applyBorder="1" applyAlignment="1">
      <alignment horizontal="center" vertical="top" wrapText="1"/>
      <protection locked="0"/>
    </xf>
    <xf numFmtId="0" fontId="27" fillId="0" borderId="0" xfId="0" applyFont="1" applyFill="1" applyBorder="1" applyAlignment="1">
      <alignment vertical="top" wrapText="1"/>
      <protection locked="0"/>
    </xf>
    <xf numFmtId="1" fontId="27" fillId="0" borderId="0" xfId="0" applyNumberFormat="1" applyFont="1" applyFill="1" applyBorder="1" applyAlignment="1">
      <alignment vertical="top"/>
      <protection locked="0"/>
    </xf>
    <xf numFmtId="3" fontId="27" fillId="0" borderId="0" xfId="0" applyNumberFormat="1" applyFont="1" applyFill="1" applyBorder="1" applyAlignment="1">
      <alignment vertical="top" wrapText="1"/>
      <protection locked="0"/>
    </xf>
    <xf numFmtId="0" fontId="28" fillId="0" borderId="0" xfId="0" applyFont="1" applyFill="1" applyBorder="1" applyAlignment="1">
      <alignment vertical="top"/>
      <protection locked="0"/>
    </xf>
    <xf numFmtId="0" fontId="28" fillId="0" borderId="0" xfId="0" applyFont="1" applyFill="1" applyBorder="1" applyAlignment="1">
      <alignment horizontal="center" vertical="top" wrapText="1"/>
      <protection locked="0"/>
    </xf>
    <xf numFmtId="0" fontId="28" fillId="0" borderId="0" xfId="0" applyFont="1" applyFill="1" applyBorder="1" applyAlignment="1">
      <alignment vertical="top" wrapText="1"/>
      <protection locked="0"/>
    </xf>
    <xf numFmtId="1" fontId="28" fillId="0" borderId="0" xfId="0" applyNumberFormat="1" applyFont="1" applyFill="1" applyBorder="1" applyAlignment="1">
      <alignment vertical="top"/>
      <protection locked="0"/>
    </xf>
    <xf numFmtId="3" fontId="28" fillId="0" borderId="0" xfId="0" applyNumberFormat="1" applyFont="1" applyFill="1" applyBorder="1" applyAlignment="1">
      <alignment vertical="top" wrapText="1"/>
      <protection locked="0"/>
    </xf>
    <xf numFmtId="0" fontId="28" fillId="0" borderId="0" xfId="0" applyFont="1" applyFill="1" applyBorder="1" applyAlignment="1">
      <alignment horizontal="center" vertical="top"/>
      <protection locked="0"/>
    </xf>
    <xf numFmtId="1" fontId="6" fillId="0" borderId="0" xfId="0" applyNumberFormat="1" applyFont="1" applyFill="1" applyBorder="1" applyAlignment="1">
      <alignment vertical="top" wrapText="1"/>
      <protection locked="0"/>
    </xf>
    <xf numFmtId="182" fontId="6" fillId="0" borderId="0" xfId="0" applyNumberFormat="1" applyFont="1" applyFill="1" applyBorder="1" applyAlignment="1">
      <alignment horizontal="center" vertical="top" wrapText="1"/>
      <protection locked="0"/>
    </xf>
    <xf numFmtId="0" fontId="12" fillId="0" borderId="0" xfId="0" applyFont="1" applyFill="1" applyBorder="1" applyAlignment="1">
      <alignment vertical="top"/>
      <protection locked="0"/>
    </xf>
    <xf numFmtId="0" fontId="12" fillId="0" borderId="0" xfId="0" applyFont="1" applyFill="1" applyBorder="1" applyAlignment="1">
      <alignment horizontal="center" vertical="top" wrapText="1"/>
      <protection locked="0"/>
    </xf>
    <xf numFmtId="0" fontId="12" fillId="0" borderId="0" xfId="0" applyFont="1" applyFill="1" applyBorder="1" applyAlignment="1">
      <alignment vertical="top" wrapText="1"/>
      <protection locked="0"/>
    </xf>
    <xf numFmtId="1" fontId="12" fillId="0" borderId="0" xfId="0" applyNumberFormat="1" applyFont="1" applyFill="1" applyBorder="1" applyAlignment="1">
      <alignment horizontal="right" vertical="top" wrapText="1"/>
      <protection locked="0"/>
    </xf>
    <xf numFmtId="3" fontId="12" fillId="0" borderId="0" xfId="0" applyNumberFormat="1" applyFont="1" applyFill="1" applyBorder="1" applyAlignment="1">
      <alignment vertical="top" wrapText="1"/>
      <protection locked="0"/>
    </xf>
    <xf numFmtId="0" fontId="12" fillId="0" borderId="0" xfId="0" applyFont="1" applyFill="1" applyBorder="1" applyAlignment="1">
      <alignment horizontal="center" vertical="top"/>
      <protection locked="0"/>
    </xf>
    <xf numFmtId="0" fontId="11" fillId="0" borderId="0" xfId="0" applyFont="1" applyFill="1" applyBorder="1" applyAlignment="1">
      <alignment vertical="top"/>
      <protection locked="0"/>
    </xf>
    <xf numFmtId="0" fontId="11" fillId="0" borderId="0" xfId="0" applyFont="1" applyFill="1" applyBorder="1" applyAlignment="1">
      <alignment horizontal="center" vertical="top" wrapText="1"/>
      <protection locked="0"/>
    </xf>
    <xf numFmtId="0" fontId="11" fillId="0" borderId="0" xfId="0" applyFont="1" applyFill="1" applyBorder="1" applyAlignment="1">
      <alignment vertical="top" wrapText="1"/>
      <protection locked="0"/>
    </xf>
    <xf numFmtId="1" fontId="11" fillId="0" borderId="0" xfId="0" applyNumberFormat="1" applyFont="1" applyFill="1" applyBorder="1" applyAlignment="1">
      <alignment horizontal="right" vertical="top" wrapText="1"/>
      <protection locked="0"/>
    </xf>
    <xf numFmtId="3" fontId="11" fillId="0" borderId="0" xfId="0" applyNumberFormat="1" applyFont="1" applyFill="1" applyBorder="1" applyAlignment="1">
      <alignment vertical="top" wrapText="1"/>
      <protection locked="0"/>
    </xf>
    <xf numFmtId="0" fontId="11" fillId="0" borderId="0" xfId="0" applyFont="1" applyFill="1" applyBorder="1" applyAlignment="1">
      <alignment horizontal="center" vertical="top"/>
      <protection locked="0"/>
    </xf>
    <xf numFmtId="0" fontId="10" fillId="0" borderId="0" xfId="0" applyFont="1" applyFill="1" applyBorder="1" applyAlignment="1">
      <alignment vertical="top"/>
      <protection locked="0"/>
    </xf>
    <xf numFmtId="0" fontId="10" fillId="0" borderId="0" xfId="0" applyFont="1" applyFill="1" applyBorder="1" applyAlignment="1">
      <alignment horizontal="center" vertical="top" wrapText="1"/>
      <protection locked="0"/>
    </xf>
    <xf numFmtId="0" fontId="10" fillId="0" borderId="0" xfId="0" applyFont="1" applyFill="1" applyBorder="1" applyAlignment="1">
      <alignment vertical="top" wrapText="1"/>
      <protection locked="0"/>
    </xf>
    <xf numFmtId="1" fontId="10" fillId="0" borderId="0" xfId="0" applyNumberFormat="1" applyFont="1" applyFill="1" applyBorder="1" applyAlignment="1">
      <alignment horizontal="right" vertical="top" wrapText="1"/>
      <protection locked="0"/>
    </xf>
    <xf numFmtId="3" fontId="10" fillId="0" borderId="0" xfId="0" applyNumberFormat="1" applyFont="1" applyFill="1" applyBorder="1" applyAlignment="1">
      <alignment vertical="top" wrapText="1"/>
      <protection locked="0"/>
    </xf>
    <xf numFmtId="0" fontId="10" fillId="0" borderId="0" xfId="0" applyFont="1" applyFill="1" applyBorder="1" applyAlignment="1">
      <alignment horizontal="center" vertical="top"/>
      <protection locked="0"/>
    </xf>
    <xf numFmtId="1" fontId="11" fillId="0" borderId="0" xfId="0" applyNumberFormat="1" applyFont="1" applyFill="1" applyBorder="1" applyAlignment="1">
      <alignment vertical="top" wrapText="1"/>
      <protection locked="0"/>
    </xf>
    <xf numFmtId="0" fontId="3" fillId="0" borderId="0" xfId="0" applyFont="1" applyFill="1" applyBorder="1" applyAlignment="1">
      <alignment vertical="top"/>
      <protection locked="0"/>
    </xf>
    <xf numFmtId="0" fontId="3" fillId="0" borderId="0" xfId="0" applyFont="1" applyFill="1" applyBorder="1" applyAlignment="1">
      <alignment horizontal="center" vertical="top" wrapText="1"/>
      <protection locked="0"/>
    </xf>
    <xf numFmtId="0" fontId="3" fillId="0" borderId="0" xfId="0" applyFont="1" applyFill="1" applyBorder="1" applyAlignment="1">
      <alignment vertical="top" wrapText="1"/>
      <protection locked="0"/>
    </xf>
    <xf numFmtId="1" fontId="3" fillId="0" borderId="0" xfId="0" applyNumberFormat="1" applyFont="1" applyFill="1" applyBorder="1" applyAlignment="1">
      <alignment vertical="top" wrapText="1"/>
      <protection locked="0"/>
    </xf>
    <xf numFmtId="3" fontId="3" fillId="0" borderId="0" xfId="0" applyNumberFormat="1" applyFont="1" applyFill="1" applyBorder="1" applyAlignment="1">
      <alignment vertical="top" wrapText="1"/>
      <protection locked="0"/>
    </xf>
    <xf numFmtId="0" fontId="3" fillId="0" borderId="0" xfId="0" applyFont="1" applyFill="1" applyBorder="1" applyAlignment="1">
      <alignment horizontal="center" vertical="top"/>
      <protection locked="0"/>
    </xf>
    <xf numFmtId="3" fontId="29" fillId="0" borderId="0" xfId="0" applyNumberFormat="1" applyFont="1" applyFill="1" applyBorder="1" applyAlignment="1">
      <alignment vertical="top" wrapText="1"/>
      <protection locked="0"/>
    </xf>
    <xf numFmtId="1" fontId="6" fillId="0" borderId="0" xfId="0" applyNumberFormat="1" applyFont="1" applyFill="1" applyBorder="1" applyAlignment="1">
      <alignment vertical="top"/>
      <protection locked="0"/>
    </xf>
    <xf numFmtId="0" fontId="30" fillId="0" borderId="0" xfId="0" applyFont="1" applyFill="1" applyBorder="1" applyAlignment="1">
      <alignment horizontal="center" vertical="top"/>
      <protection locked="0"/>
    </xf>
    <xf numFmtId="0" fontId="4" fillId="0" borderId="0" xfId="0" applyFont="1" applyFill="1" applyBorder="1" applyAlignment="1">
      <alignment horizontal="center" vertical="top" wrapText="1"/>
      <protection locked="0"/>
    </xf>
    <xf numFmtId="1" fontId="4" fillId="0" borderId="0" xfId="0" applyNumberFormat="1" applyFont="1" applyFill="1" applyBorder="1" applyAlignment="1">
      <alignment horizontal="center" vertical="center"/>
      <protection locked="0"/>
    </xf>
    <xf numFmtId="0" fontId="0" fillId="0" borderId="0" xfId="0" applyFont="1" applyFill="1" applyBorder="1" applyAlignment="1">
      <alignment vertical="center"/>
      <protection locked="0"/>
    </xf>
    <xf numFmtId="0" fontId="31" fillId="0" borderId="0" xfId="0" applyFont="1" applyFill="1" applyBorder="1" applyAlignment="1">
      <alignment horizontal="center" vertical="center"/>
      <protection locked="0"/>
    </xf>
    <xf numFmtId="0" fontId="32" fillId="0" borderId="0" xfId="0" applyFont="1" applyFill="1" applyBorder="1" applyAlignment="1">
      <alignment vertical="center"/>
      <protection locked="0"/>
    </xf>
    <xf numFmtId="0" fontId="6" fillId="0" borderId="0" xfId="0" applyFont="1" applyFill="1" applyBorder="1" applyAlignment="1">
      <alignment horizontal="center" vertical="center"/>
      <protection locked="0"/>
    </xf>
    <xf numFmtId="0" fontId="6" fillId="0" borderId="0" xfId="0" applyFont="1" applyFill="1" applyBorder="1" applyAlignment="1">
      <alignment horizontal="center" vertical="center" wrapText="1"/>
      <protection locked="0"/>
    </xf>
    <xf numFmtId="0" fontId="6" fillId="0" borderId="0" xfId="0" applyFont="1" applyFill="1" applyBorder="1" applyAlignment="1">
      <alignment vertical="center" wrapText="1"/>
      <protection locked="0"/>
    </xf>
    <xf numFmtId="181" fontId="6" fillId="0" borderId="0" xfId="0" applyNumberFormat="1" applyFont="1" applyFill="1" applyBorder="1" applyAlignment="1">
      <alignment vertical="center" wrapText="1"/>
      <protection locked="0"/>
    </xf>
    <xf numFmtId="3" fontId="6" fillId="0" borderId="0" xfId="0" applyNumberFormat="1" applyFont="1" applyFill="1" applyBorder="1" applyAlignment="1">
      <alignment vertical="center" wrapText="1"/>
      <protection locked="0"/>
    </xf>
    <xf numFmtId="0" fontId="0" fillId="0" borderId="0" xfId="0" applyFont="1" applyFill="1" applyBorder="1" applyAlignment="1">
      <alignment horizontal="center" vertical="center"/>
      <protection locked="0"/>
    </xf>
    <xf numFmtId="0" fontId="0" fillId="0" borderId="0" xfId="0" applyFont="1" applyFill="1" applyBorder="1" applyAlignment="1">
      <alignment horizontal="center" vertical="center" wrapText="1"/>
      <protection locked="0"/>
    </xf>
    <xf numFmtId="0" fontId="9" fillId="0" borderId="0" xfId="0" applyFont="1" applyFill="1" applyBorder="1" applyAlignment="1">
      <alignment horizontal="center" vertical="center" wrapText="1"/>
      <protection locked="0"/>
    </xf>
    <xf numFmtId="0" fontId="9" fillId="0" borderId="0" xfId="0" applyFont="1" applyFill="1" applyBorder="1" applyAlignment="1">
      <alignment vertical="center"/>
      <protection locked="0"/>
    </xf>
    <xf numFmtId="49" fontId="33" fillId="0" borderId="0" xfId="0" applyNumberFormat="1" applyFont="1" applyFill="1" applyBorder="1" applyAlignment="1">
      <alignment horizontal="center" vertical="center" wrapText="1"/>
      <protection locked="0"/>
    </xf>
    <xf numFmtId="0" fontId="21" fillId="0" borderId="0" xfId="0" applyFont="1" applyFill="1" applyBorder="1" applyAlignment="1">
      <alignment horizontal="center" vertical="center" wrapText="1"/>
      <protection locked="0"/>
    </xf>
    <xf numFmtId="0" fontId="21" fillId="0" borderId="0" xfId="0" applyFont="1" applyFill="1" applyBorder="1" applyAlignment="1">
      <alignment vertical="center" wrapText="1"/>
      <protection locked="0"/>
    </xf>
    <xf numFmtId="0" fontId="32" fillId="0" borderId="0" xfId="0" applyFont="1" applyFill="1" applyBorder="1" applyAlignment="1">
      <alignment horizontal="center" vertical="center" wrapText="1"/>
      <protection locked="0"/>
    </xf>
    <xf numFmtId="0" fontId="32" fillId="0" borderId="0" xfId="0" applyFont="1" applyFill="1" applyBorder="1" applyAlignment="1">
      <alignment vertical="center" wrapText="1"/>
      <protection locked="0"/>
    </xf>
    <xf numFmtId="0" fontId="17" fillId="0" borderId="0" xfId="1" applyNumberFormat="1">
      <protection locked="0"/>
    </xf>
    <xf numFmtId="3" fontId="9" fillId="0" borderId="0" xfId="0" applyNumberFormat="1" applyFont="1" applyFill="1" applyBorder="1" applyAlignment="1">
      <alignment vertical="center" wrapText="1"/>
      <protection locked="0"/>
    </xf>
    <xf numFmtId="0" fontId="9" fillId="0" borderId="0" xfId="0" applyFont="1" applyFill="1" applyBorder="1" applyAlignment="1">
      <alignment horizontal="center" vertical="center"/>
      <protection locked="0"/>
    </xf>
    <xf numFmtId="49" fontId="10" fillId="0" borderId="0" xfId="0" applyNumberFormat="1" applyFont="1" applyFill="1" applyBorder="1" applyAlignment="1">
      <alignment horizontal="center" vertical="center" wrapText="1"/>
      <protection locked="0"/>
    </xf>
    <xf numFmtId="0" fontId="0" fillId="0" borderId="0" xfId="0" applyFont="1" applyFill="1" applyBorder="1" applyAlignment="1">
      <alignment vertical="center" wrapText="1"/>
      <protection locked="0"/>
    </xf>
    <xf numFmtId="0" fontId="4" fillId="2" borderId="1" xfId="0" applyFont="1" applyFill="1" applyBorder="1" applyAlignment="1">
      <alignment horizontal="center" vertical="center"/>
      <protection locked="0"/>
    </xf>
    <xf numFmtId="0" fontId="4" fillId="2" borderId="2" xfId="0" applyFont="1" applyFill="1" applyBorder="1" applyAlignment="1">
      <alignment horizontal="center" vertical="center"/>
      <protection locked="0"/>
    </xf>
    <xf numFmtId="0" fontId="4" fillId="2" borderId="3" xfId="0" applyFont="1" applyFill="1" applyBorder="1" applyAlignment="1">
      <alignment horizontal="center" vertical="center"/>
      <protection locked="0"/>
    </xf>
    <xf numFmtId="0" fontId="4" fillId="2" borderId="5" xfId="0" applyFont="1" applyFill="1" applyBorder="1" applyAlignment="1">
      <alignment horizontal="center" vertical="center"/>
      <protection locked="0"/>
    </xf>
    <xf numFmtId="0" fontId="4" fillId="2" borderId="6" xfId="0" applyFont="1" applyFill="1" applyBorder="1" applyAlignment="1">
      <alignment horizontal="center" vertical="center"/>
      <protection locked="0"/>
    </xf>
    <xf numFmtId="0" fontId="27" fillId="0" borderId="7" xfId="0" applyFont="1" applyBorder="1" applyAlignment="1">
      <alignment horizontal="center" vertical="top"/>
      <protection locked="0"/>
    </xf>
    <xf numFmtId="0" fontId="27" fillId="0" borderId="8" xfId="0" applyFont="1" applyBorder="1" applyAlignment="1">
      <alignment horizontal="center" vertical="top" wrapText="1"/>
      <protection locked="0"/>
    </xf>
    <xf numFmtId="0" fontId="27" fillId="0" borderId="8" xfId="0" applyFont="1" applyBorder="1" applyAlignment="1">
      <alignment vertical="top" wrapText="1"/>
      <protection locked="0"/>
    </xf>
    <xf numFmtId="181" fontId="27" fillId="0" borderId="8" xfId="0" applyNumberFormat="1" applyFont="1" applyBorder="1" applyAlignment="1">
      <alignment vertical="top" wrapText="1"/>
      <protection locked="0"/>
    </xf>
    <xf numFmtId="184" fontId="27" fillId="0" borderId="8" xfId="0" applyNumberFormat="1" applyFont="1" applyBorder="1" applyAlignment="1">
      <alignment vertical="top" wrapText="1"/>
      <protection locked="0"/>
    </xf>
    <xf numFmtId="0" fontId="6" fillId="0" borderId="7" xfId="0" applyFont="1" applyBorder="1" applyAlignment="1">
      <alignment horizontal="center" vertical="top"/>
      <protection locked="0"/>
    </xf>
    <xf numFmtId="0" fontId="34" fillId="0" borderId="8" xfId="0" applyFont="1" applyBorder="1" applyAlignment="1">
      <alignment vertical="top" wrapText="1"/>
      <protection locked="0"/>
    </xf>
    <xf numFmtId="0" fontId="34" fillId="0" borderId="8" xfId="0" applyFont="1" applyBorder="1" applyAlignment="1">
      <alignment horizontal="center" vertical="top" wrapText="1"/>
      <protection locked="0"/>
    </xf>
    <xf numFmtId="181" fontId="34" fillId="0" borderId="8" xfId="0" applyNumberFormat="1" applyFont="1" applyBorder="1" applyAlignment="1">
      <alignment vertical="top" wrapText="1"/>
      <protection locked="0"/>
    </xf>
    <xf numFmtId="184" fontId="34" fillId="0" borderId="8" xfId="0" applyNumberFormat="1" applyFont="1" applyBorder="1" applyAlignment="1">
      <alignment vertical="top" wrapText="1"/>
      <protection locked="0"/>
    </xf>
    <xf numFmtId="184" fontId="6" fillId="0" borderId="8" xfId="0" applyNumberFormat="1" applyFont="1" applyBorder="1" applyAlignment="1">
      <alignment vertical="top" wrapText="1"/>
      <protection locked="0"/>
    </xf>
    <xf numFmtId="0" fontId="6" fillId="0" borderId="0" xfId="0" applyFont="1" applyAlignment="1">
      <alignment horizontal="center" vertical="center"/>
      <protection locked="0"/>
    </xf>
    <xf numFmtId="182" fontId="27" fillId="0" borderId="8" xfId="0" applyNumberFormat="1" applyFont="1" applyBorder="1" applyAlignment="1">
      <alignment horizontal="center" vertical="top" wrapText="1"/>
      <protection locked="0"/>
    </xf>
    <xf numFmtId="182" fontId="34" fillId="0" borderId="8" xfId="0" applyNumberFormat="1" applyFont="1" applyBorder="1" applyAlignment="1">
      <alignment horizontal="center" vertical="top" wrapText="1"/>
      <protection locked="0"/>
    </xf>
    <xf numFmtId="182" fontId="6" fillId="0" borderId="8" xfId="0" applyNumberFormat="1" applyFont="1" applyBorder="1" applyAlignment="1">
      <alignment horizontal="center" vertical="top" wrapText="1"/>
      <protection locked="0"/>
    </xf>
    <xf numFmtId="0" fontId="6" fillId="0" borderId="5" xfId="0" applyFont="1" applyBorder="1" applyAlignment="1">
      <alignment horizontal="center" vertical="top"/>
      <protection locked="0"/>
    </xf>
    <xf numFmtId="0" fontId="6" fillId="0" borderId="6" xfId="0" applyFont="1" applyBorder="1" applyAlignment="1">
      <alignment horizontal="center" vertical="top" wrapText="1"/>
      <protection locked="0"/>
    </xf>
    <xf numFmtId="184" fontId="6" fillId="0" borderId="6" xfId="0" applyNumberFormat="1" applyFont="1" applyBorder="1" applyAlignment="1">
      <alignment vertical="top" wrapText="1"/>
      <protection locked="0"/>
    </xf>
    <xf numFmtId="0" fontId="6" fillId="0" borderId="0" xfId="0" applyFont="1" applyAlignment="1">
      <alignment vertical="top" wrapText="1"/>
      <protection locked="0"/>
    </xf>
    <xf numFmtId="182" fontId="6" fillId="0" borderId="6" xfId="0" applyNumberFormat="1" applyFont="1" applyBorder="1" applyAlignment="1">
      <alignment horizontal="center" vertical="top" wrapText="1"/>
      <protection locked="0"/>
    </xf>
    <xf numFmtId="0" fontId="28" fillId="0" borderId="0" xfId="0" applyFont="1" applyAlignment="1">
      <alignment horizontal="center" vertical="top"/>
      <protection locked="0"/>
    </xf>
    <xf numFmtId="0" fontId="4" fillId="0" borderId="0" xfId="0" applyFont="1" applyAlignment="1">
      <alignment horizontal="center" vertical="top"/>
      <protection locked="0"/>
    </xf>
    <xf numFmtId="0" fontId="4" fillId="0" borderId="0" xfId="0" applyFont="1" applyAlignment="1">
      <alignment vertical="top"/>
      <protection locked="0"/>
    </xf>
    <xf numFmtId="49" fontId="4" fillId="0" borderId="0" xfId="0" applyNumberFormat="1" applyFont="1" applyAlignment="1">
      <alignment horizontal="center" vertical="top" wrapText="1"/>
      <protection locked="0"/>
    </xf>
    <xf numFmtId="0" fontId="6" fillId="0" borderId="0" xfId="0" applyFont="1" applyAlignment="1">
      <alignment horizontal="center" vertical="top"/>
      <protection locked="0"/>
    </xf>
    <xf numFmtId="3" fontId="6" fillId="0" borderId="0" xfId="0" applyNumberFormat="1" applyFont="1" applyAlignment="1">
      <alignment vertical="top" wrapText="1"/>
      <protection locked="0"/>
    </xf>
    <xf numFmtId="182" fontId="6" fillId="0" borderId="0" xfId="0" applyNumberFormat="1" applyFont="1" applyAlignment="1">
      <alignment vertical="top" wrapText="1"/>
      <protection locked="0"/>
    </xf>
    <xf numFmtId="0" fontId="6" fillId="0" borderId="0" xfId="0" applyFont="1" applyAlignment="1">
      <alignment horizontal="right"/>
      <protection locked="0"/>
    </xf>
    <xf numFmtId="49" fontId="4" fillId="2" borderId="11" xfId="0" applyNumberFormat="1" applyFont="1" applyFill="1" applyBorder="1" applyAlignment="1">
      <alignment horizontal="center" vertical="center" wrapText="1"/>
      <protection locked="0"/>
    </xf>
    <xf numFmtId="3" fontId="27" fillId="0" borderId="7" xfId="0" applyNumberFormat="1" applyFont="1" applyBorder="1" applyAlignment="1">
      <alignment horizontal="center" vertical="top" wrapText="1"/>
      <protection locked="0"/>
    </xf>
    <xf numFmtId="49" fontId="27" fillId="0" borderId="8" xfId="0" applyNumberFormat="1" applyFont="1" applyBorder="1" applyAlignment="1">
      <alignment horizontal="center" vertical="top" wrapText="1"/>
      <protection locked="0"/>
    </xf>
    <xf numFmtId="49" fontId="27" fillId="0" borderId="8" xfId="0" applyNumberFormat="1" applyFont="1" applyBorder="1" applyAlignment="1">
      <alignment vertical="top" wrapText="1"/>
      <protection locked="0"/>
    </xf>
    <xf numFmtId="185" fontId="35" fillId="0" borderId="8" xfId="0" applyNumberFormat="1" applyFont="1" applyBorder="1" applyAlignment="1">
      <alignment vertical="top" wrapText="1"/>
      <protection locked="0"/>
    </xf>
    <xf numFmtId="3" fontId="27" fillId="0" borderId="8" xfId="0" applyNumberFormat="1" applyFont="1" applyBorder="1" applyAlignment="1">
      <alignment horizontal="center" vertical="top" wrapText="1"/>
      <protection locked="0"/>
    </xf>
    <xf numFmtId="0" fontId="27" fillId="0" borderId="8" xfId="0" applyFont="1" applyBorder="1" applyAlignment="1">
      <alignment vertical="top"/>
      <protection locked="0"/>
    </xf>
    <xf numFmtId="185" fontId="27" fillId="0" borderId="8" xfId="0" applyNumberFormat="1" applyFont="1" applyBorder="1" applyAlignment="1">
      <alignment vertical="top" wrapText="1"/>
      <protection locked="0"/>
    </xf>
    <xf numFmtId="3" fontId="36" fillId="0" borderId="7" xfId="0" applyNumberFormat="1" applyFont="1" applyBorder="1" applyAlignment="1">
      <alignment horizontal="center" vertical="top" wrapText="1"/>
      <protection locked="0"/>
    </xf>
    <xf numFmtId="49" fontId="36" fillId="0" borderId="8" xfId="0" applyNumberFormat="1" applyFont="1" applyBorder="1" applyAlignment="1">
      <alignment horizontal="center" vertical="top" wrapText="1"/>
      <protection locked="0"/>
    </xf>
    <xf numFmtId="49" fontId="36" fillId="0" borderId="8" xfId="0" applyNumberFormat="1" applyFont="1" applyBorder="1" applyAlignment="1">
      <alignment vertical="top" wrapText="1"/>
      <protection locked="0"/>
    </xf>
    <xf numFmtId="185" fontId="36" fillId="0" borderId="8" xfId="0" applyNumberFormat="1" applyFont="1" applyBorder="1" applyAlignment="1">
      <alignment vertical="top" wrapText="1"/>
      <protection locked="0"/>
    </xf>
    <xf numFmtId="3" fontId="36" fillId="0" borderId="8" xfId="0" applyNumberFormat="1" applyFont="1" applyBorder="1" applyAlignment="1">
      <alignment horizontal="center" vertical="top" wrapText="1"/>
      <protection locked="0"/>
    </xf>
    <xf numFmtId="0" fontId="36" fillId="0" borderId="8" xfId="0" applyFont="1" applyBorder="1" applyAlignment="1">
      <alignment vertical="top"/>
      <protection locked="0"/>
    </xf>
    <xf numFmtId="3" fontId="6" fillId="0" borderId="7" xfId="0" applyNumberFormat="1" applyFont="1" applyBorder="1" applyAlignment="1">
      <alignment horizontal="center" vertical="top" wrapText="1"/>
      <protection locked="0"/>
    </xf>
    <xf numFmtId="185" fontId="6" fillId="0" borderId="8" xfId="0" applyNumberFormat="1" applyFont="1" applyBorder="1" applyAlignment="1">
      <alignment vertical="top" wrapText="1"/>
      <protection locked="0"/>
    </xf>
    <xf numFmtId="3" fontId="6" fillId="0" borderId="8" xfId="0" applyNumberFormat="1" applyFont="1" applyBorder="1" applyAlignment="1">
      <alignment horizontal="center" vertical="top" wrapText="1"/>
      <protection locked="0"/>
    </xf>
    <xf numFmtId="10" fontId="6" fillId="0" borderId="8" xfId="0" applyNumberFormat="1" applyFont="1" applyBorder="1" applyAlignment="1">
      <alignment vertical="top" wrapText="1"/>
      <protection locked="0"/>
    </xf>
    <xf numFmtId="0" fontId="27" fillId="0" borderId="8" xfId="0" applyFont="1" applyBorder="1" applyAlignment="1">
      <alignment horizontal="center" vertical="top"/>
      <protection locked="0"/>
    </xf>
    <xf numFmtId="3" fontId="27" fillId="0" borderId="8" xfId="0" applyNumberFormat="1" applyFont="1" applyBorder="1" applyAlignment="1">
      <alignment vertical="top" wrapText="1"/>
      <protection locked="0"/>
    </xf>
    <xf numFmtId="0" fontId="36" fillId="0" borderId="8" xfId="0" applyFont="1" applyBorder="1" applyAlignment="1">
      <alignment horizontal="center" vertical="top"/>
      <protection locked="0"/>
    </xf>
    <xf numFmtId="184" fontId="6" fillId="0" borderId="8" xfId="0" applyNumberFormat="1" applyFont="1" applyBorder="1" applyAlignment="1">
      <alignment horizontal="center" vertical="top" wrapText="1"/>
      <protection locked="0"/>
    </xf>
    <xf numFmtId="10" fontId="6" fillId="0" borderId="8" xfId="0" applyNumberFormat="1" applyFont="1" applyBorder="1" applyAlignment="1">
      <alignment horizontal="center" vertical="top" wrapText="1"/>
      <protection locked="0"/>
    </xf>
    <xf numFmtId="3" fontId="6" fillId="0" borderId="5" xfId="0" applyNumberFormat="1" applyFont="1" applyBorder="1" applyAlignment="1">
      <alignment horizontal="center" vertical="top" wrapText="1"/>
      <protection locked="0"/>
    </xf>
    <xf numFmtId="185" fontId="6" fillId="0" borderId="6" xfId="0" applyNumberFormat="1" applyFont="1" applyBorder="1" applyAlignment="1">
      <alignment vertical="top" wrapText="1"/>
      <protection locked="0"/>
    </xf>
    <xf numFmtId="3" fontId="6" fillId="0" borderId="6" xfId="0" applyNumberFormat="1" applyFont="1" applyBorder="1" applyAlignment="1">
      <alignment horizontal="center" vertical="top" wrapText="1"/>
      <protection locked="0"/>
    </xf>
    <xf numFmtId="10" fontId="6" fillId="0" borderId="6" xfId="0" applyNumberFormat="1" applyFont="1" applyBorder="1" applyAlignment="1">
      <alignment vertical="top" wrapText="1"/>
      <protection locked="0"/>
    </xf>
    <xf numFmtId="0" fontId="4" fillId="2" borderId="1" xfId="0" applyFont="1" applyFill="1" applyBorder="1" applyAlignment="1">
      <alignment horizontal="center" vertical="center" wrapText="1"/>
      <protection locked="0"/>
    </xf>
    <xf numFmtId="0" fontId="4" fillId="2" borderId="12" xfId="0" applyFont="1" applyFill="1" applyBorder="1" applyAlignment="1">
      <alignment horizontal="center" vertical="center" wrapText="1"/>
      <protection locked="0"/>
    </xf>
    <xf numFmtId="0" fontId="4" fillId="2" borderId="13" xfId="0" applyFont="1" applyFill="1" applyBorder="1" applyAlignment="1">
      <alignment horizontal="center" vertical="center" wrapText="1"/>
      <protection locked="0"/>
    </xf>
    <xf numFmtId="186" fontId="6" fillId="0" borderId="8" xfId="0" applyNumberFormat="1" applyFont="1" applyBorder="1" applyAlignment="1">
      <alignment horizontal="center" vertical="top" wrapText="1"/>
      <protection locked="0"/>
    </xf>
    <xf numFmtId="186" fontId="6" fillId="0" borderId="6" xfId="0" applyNumberFormat="1" applyFont="1" applyBorder="1" applyAlignment="1">
      <alignment horizontal="center" vertical="top" wrapText="1"/>
      <protection locked="0"/>
    </xf>
    <xf numFmtId="10" fontId="4" fillId="2" borderId="6" xfId="0" applyNumberFormat="1" applyFont="1" applyFill="1" applyBorder="1" applyAlignment="1">
      <alignment horizontal="center" vertical="center" wrapText="1"/>
      <protection locked="0"/>
    </xf>
    <xf numFmtId="0" fontId="6" fillId="0" borderId="0" xfId="0" applyFont="1" applyAlignment="1">
      <alignment horizontal="center" vertical="center" wrapText="1"/>
      <protection locked="0"/>
    </xf>
    <xf numFmtId="0" fontId="6" fillId="0" borderId="0" xfId="0" applyFont="1" applyAlignment="1">
      <alignment horizontal="center"/>
      <protection locked="0"/>
    </xf>
    <xf numFmtId="0" fontId="6" fillId="0" borderId="0" xfId="0" applyFont="1" applyAlignment="1">
      <alignment vertical="center"/>
      <protection locked="0"/>
    </xf>
    <xf numFmtId="0" fontId="37" fillId="0" borderId="0" xfId="0" applyFont="1" applyAlignment="1">
      <alignment horizontal="center"/>
      <protection locked="0"/>
    </xf>
    <xf numFmtId="49" fontId="6" fillId="0" borderId="14" xfId="0" applyNumberFormat="1" applyFont="1" applyBorder="1" applyAlignment="1">
      <alignment vertical="top" wrapText="1"/>
      <protection locked="0"/>
    </xf>
    <xf numFmtId="0" fontId="6" fillId="0" borderId="8" xfId="0" applyFont="1" applyBorder="1" applyAlignment="1">
      <alignment vertical="top"/>
      <protection locked="0"/>
    </xf>
    <xf numFmtId="3" fontId="38" fillId="0" borderId="8" xfId="0" applyNumberFormat="1" applyFont="1" applyBorder="1" applyAlignment="1">
      <alignment horizontal="center" vertical="top" wrapText="1"/>
      <protection locked="0"/>
    </xf>
    <xf numFmtId="1" fontId="6" fillId="0" borderId="0" xfId="0" applyNumberFormat="1" applyFont="1" applyAlignment="1">
      <alignment vertical="center"/>
      <protection locked="0"/>
    </xf>
    <xf numFmtId="49" fontId="6" fillId="0" borderId="10" xfId="0" applyNumberFormat="1" applyFont="1" applyBorder="1" applyAlignment="1">
      <alignment vertical="top" wrapText="1"/>
      <protection locked="0"/>
    </xf>
    <xf numFmtId="3" fontId="38" fillId="0" borderId="6" xfId="0" applyNumberFormat="1" applyFont="1" applyBorder="1" applyAlignment="1">
      <alignment horizontal="center" vertical="top" wrapText="1"/>
      <protection locked="0"/>
    </xf>
    <xf numFmtId="10" fontId="38" fillId="0" borderId="8" xfId="0" applyNumberFormat="1" applyFont="1" applyBorder="1" applyAlignment="1">
      <alignment horizontal="center" vertical="top" wrapText="1"/>
      <protection locked="0"/>
    </xf>
    <xf numFmtId="10" fontId="38" fillId="0" borderId="6" xfId="0" applyNumberFormat="1" applyFont="1" applyBorder="1" applyAlignment="1">
      <alignment horizontal="center" vertical="top" wrapText="1"/>
      <protection locked="0"/>
    </xf>
    <xf numFmtId="186" fontId="38" fillId="0" borderId="8" xfId="0" applyNumberFormat="1" applyFont="1" applyBorder="1" applyAlignment="1">
      <alignment vertical="top" wrapText="1"/>
      <protection locked="0"/>
    </xf>
    <xf numFmtId="186" fontId="38" fillId="0" borderId="6" xfId="0" applyNumberFormat="1" applyFont="1" applyBorder="1" applyAlignment="1">
      <alignment vertical="top" wrapText="1"/>
      <protection locked="0"/>
    </xf>
    <xf numFmtId="186" fontId="38" fillId="0" borderId="8" xfId="0" applyNumberFormat="1" applyFont="1" applyBorder="1" applyAlignment="1">
      <alignment horizontal="center" vertical="top" wrapText="1"/>
      <protection locked="0"/>
    </xf>
    <xf numFmtId="186" fontId="38" fillId="0" borderId="6" xfId="0" applyNumberFormat="1" applyFont="1" applyBorder="1" applyAlignment="1">
      <alignment horizontal="center" vertical="top" wrapText="1"/>
      <protection locked="0"/>
    </xf>
    <xf numFmtId="0" fontId="39" fillId="0" borderId="7" xfId="0" applyFont="1" applyBorder="1" applyAlignment="1">
      <alignment horizontal="center" vertical="top"/>
      <protection locked="0"/>
    </xf>
    <xf numFmtId="0" fontId="39" fillId="0" borderId="8" xfId="0" applyFont="1" applyBorder="1" applyAlignment="1">
      <alignment horizontal="center" vertical="top" wrapText="1"/>
      <protection locked="0"/>
    </xf>
    <xf numFmtId="185" fontId="39" fillId="0" borderId="8" xfId="0" applyNumberFormat="1" applyFont="1" applyBorder="1" applyAlignment="1">
      <alignment horizontal="center" vertical="top" wrapText="1"/>
      <protection locked="0"/>
    </xf>
    <xf numFmtId="185" fontId="39" fillId="3" borderId="8" xfId="0" applyNumberFormat="1" applyFont="1" applyFill="1" applyBorder="1" applyAlignment="1">
      <alignment horizontal="center" vertical="top" wrapText="1"/>
      <protection locked="0"/>
    </xf>
    <xf numFmtId="182" fontId="39" fillId="0" borderId="8" xfId="0" applyNumberFormat="1" applyFont="1" applyBorder="1" applyAlignment="1">
      <alignment horizontal="center" vertical="top" wrapText="1"/>
      <protection locked="0"/>
    </xf>
    <xf numFmtId="0" fontId="39" fillId="0" borderId="8" xfId="0" applyFont="1" applyBorder="1" applyAlignment="1">
      <alignment horizontal="center" vertical="top"/>
      <protection locked="0"/>
    </xf>
    <xf numFmtId="185" fontId="38" fillId="3" borderId="8" xfId="0" applyNumberFormat="1" applyFont="1" applyFill="1" applyBorder="1" applyAlignment="1">
      <alignment vertical="top" wrapText="1"/>
      <protection locked="0"/>
    </xf>
    <xf numFmtId="185" fontId="6" fillId="3" borderId="8" xfId="0" applyNumberFormat="1" applyFont="1" applyFill="1" applyBorder="1" applyAlignment="1">
      <alignment vertical="top" wrapText="1"/>
      <protection locked="0"/>
    </xf>
    <xf numFmtId="185" fontId="40" fillId="3" borderId="8" xfId="0" applyNumberFormat="1" applyFont="1" applyFill="1" applyBorder="1" applyAlignment="1">
      <alignment vertical="top" wrapText="1"/>
      <protection locked="0"/>
    </xf>
    <xf numFmtId="185" fontId="38" fillId="3" borderId="6" xfId="0" applyNumberFormat="1" applyFont="1" applyFill="1" applyBorder="1" applyAlignment="1">
      <alignment vertical="top" wrapText="1"/>
      <protection locked="0"/>
    </xf>
    <xf numFmtId="49" fontId="39" fillId="0" borderId="8" xfId="0" applyNumberFormat="1" applyFont="1" applyBorder="1" applyAlignment="1">
      <alignment horizontal="center" vertical="top" wrapText="1"/>
      <protection locked="0"/>
    </xf>
    <xf numFmtId="0" fontId="41" fillId="0" borderId="0" xfId="0" applyFont="1" applyAlignment="1">
      <alignment vertical="top"/>
      <protection locked="0"/>
    </xf>
    <xf numFmtId="0" fontId="42" fillId="0" borderId="0" xfId="0" applyFont="1" applyAlignment="1" applyProtection="1">
      <alignment horizontal="center" vertical="top"/>
    </xf>
    <xf numFmtId="3" fontId="43" fillId="0" borderId="7" xfId="0" applyNumberFormat="1" applyFont="1" applyBorder="1" applyAlignment="1">
      <alignment horizontal="center" vertical="top" wrapText="1"/>
      <protection locked="0"/>
    </xf>
    <xf numFmtId="0" fontId="43" fillId="0" borderId="8" xfId="0" applyFont="1" applyBorder="1" applyAlignment="1">
      <alignment vertical="top" wrapText="1"/>
      <protection locked="0"/>
    </xf>
    <xf numFmtId="0" fontId="44" fillId="0" borderId="8" xfId="0" applyFont="1" applyBorder="1" applyAlignment="1">
      <alignment horizontal="center" vertical="top" wrapText="1"/>
      <protection locked="0"/>
    </xf>
    <xf numFmtId="181" fontId="43" fillId="0" borderId="8" xfId="0" applyNumberFormat="1" applyFont="1" applyBorder="1" applyAlignment="1">
      <alignment horizontal="right" vertical="top" wrapText="1"/>
      <protection locked="0"/>
    </xf>
    <xf numFmtId="0" fontId="43" fillId="0" borderId="8" xfId="0" applyFont="1" applyBorder="1" applyAlignment="1">
      <alignment horizontal="center" vertical="top" wrapText="1"/>
      <protection locked="0"/>
    </xf>
    <xf numFmtId="0" fontId="43" fillId="0" borderId="8" xfId="0" applyFont="1" applyBorder="1" applyAlignment="1">
      <alignment horizontal="left" vertical="top" wrapText="1"/>
      <protection locked="0"/>
    </xf>
    <xf numFmtId="0" fontId="45" fillId="0" borderId="8" xfId="0" applyFont="1" applyBorder="1" applyAlignment="1">
      <alignment horizontal="left" vertical="top" wrapText="1"/>
      <protection locked="0"/>
    </xf>
    <xf numFmtId="0" fontId="46" fillId="0" borderId="8" xfId="0" applyFont="1" applyBorder="1" applyAlignment="1">
      <alignment horizontal="left" vertical="top" wrapText="1"/>
      <protection locked="0"/>
    </xf>
    <xf numFmtId="0" fontId="43" fillId="0" borderId="7" xfId="0" applyFont="1" applyBorder="1" applyAlignment="1">
      <alignment vertical="top"/>
      <protection locked="0"/>
    </xf>
    <xf numFmtId="181" fontId="43" fillId="0" borderId="8" xfId="0" applyNumberFormat="1" applyFont="1" applyBorder="1" applyAlignment="1">
      <alignment vertical="top" wrapText="1"/>
      <protection locked="0"/>
    </xf>
    <xf numFmtId="3" fontId="44" fillId="0" borderId="8" xfId="0" applyNumberFormat="1" applyFont="1" applyBorder="1" applyAlignment="1">
      <alignment horizontal="center" vertical="top" wrapText="1"/>
      <protection locked="0"/>
    </xf>
    <xf numFmtId="3" fontId="43" fillId="0" borderId="8" xfId="0" applyNumberFormat="1" applyFont="1" applyBorder="1" applyAlignment="1">
      <alignment horizontal="right" vertical="top" wrapText="1"/>
      <protection locked="0"/>
    </xf>
    <xf numFmtId="3" fontId="43" fillId="0" borderId="8" xfId="0" applyNumberFormat="1" applyFont="1" applyBorder="1" applyAlignment="1">
      <alignment vertical="top" wrapText="1"/>
      <protection locked="0"/>
    </xf>
    <xf numFmtId="182" fontId="43" fillId="0" borderId="8" xfId="0" applyNumberFormat="1" applyFont="1" applyBorder="1" applyAlignment="1">
      <alignment horizontal="right" vertical="top" wrapText="1"/>
      <protection locked="0"/>
    </xf>
    <xf numFmtId="3" fontId="47" fillId="0" borderId="8" xfId="0" applyNumberFormat="1" applyFont="1" applyBorder="1" applyAlignment="1">
      <alignment horizontal="right" vertical="top" wrapText="1"/>
      <protection locked="0"/>
    </xf>
    <xf numFmtId="3" fontId="47" fillId="0" borderId="8" xfId="0" applyNumberFormat="1" applyFont="1" applyBorder="1" applyAlignment="1">
      <alignment vertical="top" wrapText="1"/>
      <protection locked="0"/>
    </xf>
    <xf numFmtId="182" fontId="43" fillId="0" borderId="8" xfId="0" applyNumberFormat="1" applyFont="1" applyBorder="1" applyAlignment="1">
      <alignment vertical="top" wrapText="1"/>
      <protection locked="0"/>
    </xf>
    <xf numFmtId="0" fontId="41" fillId="0" borderId="0" xfId="0" applyFont="1" applyAlignment="1">
      <alignment horizontal="center" vertical="top"/>
      <protection locked="0"/>
    </xf>
    <xf numFmtId="187" fontId="43" fillId="0" borderId="8" xfId="0" applyNumberFormat="1" applyFont="1" applyBorder="1" applyAlignment="1">
      <alignment horizontal="right" vertical="top" wrapText="1"/>
      <protection locked="0"/>
    </xf>
    <xf numFmtId="187" fontId="43" fillId="0" borderId="8" xfId="0" applyNumberFormat="1" applyFont="1" applyBorder="1" applyAlignment="1">
      <alignment vertical="top" wrapText="1"/>
      <protection locked="0"/>
    </xf>
    <xf numFmtId="3" fontId="43" fillId="0" borderId="5" xfId="0" applyNumberFormat="1" applyFont="1" applyBorder="1" applyAlignment="1">
      <alignment horizontal="center" vertical="top" wrapText="1"/>
      <protection locked="0"/>
    </xf>
    <xf numFmtId="0" fontId="43" fillId="0" borderId="6" xfId="0" applyFont="1" applyBorder="1" applyAlignment="1">
      <alignment vertical="top" wrapText="1"/>
      <protection locked="0"/>
    </xf>
    <xf numFmtId="0" fontId="44" fillId="0" borderId="6" xfId="0" applyFont="1" applyBorder="1" applyAlignment="1">
      <alignment horizontal="center" vertical="top" wrapText="1"/>
      <protection locked="0"/>
    </xf>
    <xf numFmtId="181" fontId="43" fillId="0" borderId="6" xfId="0" applyNumberFormat="1" applyFont="1" applyBorder="1" applyAlignment="1">
      <alignment horizontal="right" vertical="top" wrapText="1"/>
      <protection locked="0"/>
    </xf>
    <xf numFmtId="3" fontId="44" fillId="0" borderId="6" xfId="0" applyNumberFormat="1" applyFont="1" applyBorder="1" applyAlignment="1">
      <alignment horizontal="center" vertical="top" wrapText="1"/>
      <protection locked="0"/>
    </xf>
    <xf numFmtId="3" fontId="43" fillId="0" borderId="6" xfId="0" applyNumberFormat="1" applyFont="1" applyBorder="1" applyAlignment="1">
      <alignment horizontal="right" vertical="top" wrapText="1"/>
      <protection locked="0"/>
    </xf>
    <xf numFmtId="0" fontId="48" fillId="0" borderId="8" xfId="0" applyFont="1" applyBorder="1" applyAlignment="1">
      <alignment horizontal="center" vertical="top" wrapText="1"/>
      <protection locked="0"/>
    </xf>
    <xf numFmtId="188" fontId="43" fillId="0" borderId="8" xfId="0" applyNumberFormat="1" applyFont="1" applyBorder="1" applyAlignment="1">
      <alignment horizontal="right" vertical="top" wrapText="1"/>
      <protection locked="0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lLevel_1" xfId="49"/>
    <cellStyle name="RowLevel_1" xfId="50"/>
    <cellStyle name="RowLevel_2" xfId="51"/>
    <cellStyle name="RowLevel_3" xf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00008B"/>
      <rgbColor rgb="00FFFFCC"/>
      <rgbColor rgb="000000CD"/>
      <rgbColor rgb="00660066"/>
      <rgbColor rgb="00FF8080"/>
      <rgbColor rgb="000066CC"/>
      <rgbColor rgb="00CCCCFF"/>
      <rgbColor rgb="00F5F5F5"/>
      <rgbColor rgb="00646464"/>
      <rgbColor rgb="00F5FFFA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6600"/>
      <color rgb="0031869B"/>
      <color rgb="0000008B"/>
      <color rgb="00F5FFFA"/>
      <color rgb="00FF0000"/>
      <color rgb="00808080"/>
      <color rgb="00F5F5F5"/>
      <color rgb="000000FF"/>
      <color rgb="000000C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6" Type="http://schemas.openxmlformats.org/officeDocument/2006/relationships/styles" Target="styles.xml"/><Relationship Id="rId55" Type="http://schemas.openxmlformats.org/officeDocument/2006/relationships/sharedStrings" Target="sharedStrings.xml"/><Relationship Id="rId54" Type="http://schemas.openxmlformats.org/officeDocument/2006/relationships/theme" Target="theme/theme1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0:J39" totalsRowShown="0">
  <tableColumns count="10">
    <tableColumn id="1" name="STT"/>
    <tableColumn id="2" name="Mã số"/>
    <tableColumn id="3" name="Tên công tác"/>
    <tableColumn id="4" name="Đơn vị"/>
    <tableColumn id="5" name="Khối lượng"/>
    <tableColumn id="6" name="Vật liệu"/>
    <tableColumn id="7" name="Nhân công"/>
    <tableColumn id="8" name="Máy"/>
    <tableColumn id="9" name="Đơn giá"/>
    <tableColumn id="10" name="Thành tiền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44:J84" totalsRowShown="0">
  <autoFilter xmlns:etc="http://www.wps.cn/officeDocument/2017/etCustomData" ref="A44:J84" etc:filterBottomFollowUsedRange="0"/>
  <tableColumns count="10">
    <tableColumn id="1" name="STT"/>
    <tableColumn id="2" name="Mã số"/>
    <tableColumn id="3" name="Tên công tác"/>
    <tableColumn id="4" name="Đơn vị"/>
    <tableColumn id="5" name="Khối lượng"/>
    <tableColumn id="6" name="Vật liệu"/>
    <tableColumn id="7" name="Nhân công"/>
    <tableColumn id="8" name="Máy"/>
    <tableColumn id="9" name="Đơn giá"/>
    <tableColumn id="10" name="Thành tiền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0:H1057" totalsRowShown="0">
  <tableColumns count="8">
    <tableColumn id="1" name="STT"/>
    <tableColumn id="2" name="Mã số"/>
    <tableColumn id="3" name="Thành phần hao phí"/>
    <tableColumn id="4" name="Đơn vị"/>
    <tableColumn id="5" name="Định mức"/>
    <tableColumn id="6" name="Đơn giá"/>
    <tableColumn id="7" name="Hệ số"/>
    <tableColumn id="8" name="Thành tiền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:P53" totalsRowShown="0">
  <tableColumns count="16">
    <tableColumn id="1" name="STT"/>
    <tableColumn id="2" name="Mã số"/>
    <tableColumn id="3" name="Tên vật tư"/>
    <tableColumn id="4" name="Đơn vị"/>
    <tableColumn id="5" name="Khối lượng"/>
    <tableColumn id="6" name="Giá gốc"/>
    <tableColumn id="7" name="Thành tiền"/>
    <tableColumn id="8" name="Giá T.B"/>
    <tableColumn id="9" name="Thành tiền2"/>
    <tableColumn id="10" name="Hệ số"/>
    <tableColumn id="11" name="Giá T.B x H.S"/>
    <tableColumn id="12" name="Thành tiền3"/>
    <tableColumn id="13" name="Cước V.C&#10;Bù N.Liệu"/>
    <tableColumn id="14" name="Thành tiền4"/>
    <tableColumn id="15" name="Giá H.T"/>
    <tableColumn id="16" name="Thành tiền5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7:P102" totalsRowShown="0">
  <tableColumns count="16">
    <tableColumn id="1" name="STT"/>
    <tableColumn id="2" name="Mã số"/>
    <tableColumn id="3" name="Tên vật tư"/>
    <tableColumn id="4" name="Đơn vị"/>
    <tableColumn id="5" name="Khối lượng"/>
    <tableColumn id="6" name="Giá gốc"/>
    <tableColumn id="7" name="Thành tiền"/>
    <tableColumn id="8" name="Giá T.B"/>
    <tableColumn id="9" name="Thành tiền2"/>
    <tableColumn id="10" name="Hệ số"/>
    <tableColumn id="11" name="Giá T.B x H.S"/>
    <tableColumn id="12" name="Thành tiền3"/>
    <tableColumn id="13" name="Cước V.C�Bù N.Liệu"/>
    <tableColumn id="14" name="Thành tiền4"/>
    <tableColumn id="15" name="Giá H.T"/>
    <tableColumn id="16" name="Thành tiền5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view="pageBreakPreview" zoomScaleNormal="100" defaultGridColor="0" colorId="0" workbookViewId="0">
      <selection activeCell="A1" sqref="A1"/>
    </sheetView>
  </sheetViews>
  <sheetFormatPr defaultColWidth="9" defaultRowHeight="10.5"/>
  <sheetData/>
  <pageMargins left="0.7" right="0.7" top="0.75" bottom="0.75" header="0.3" footer="0.3"/>
  <pageSetup paperSize="1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16"/>
  <sheetViews>
    <sheetView zoomScaleSheetLayoutView="60" workbookViewId="0">
      <pane xSplit="4" ySplit="5" topLeftCell="E476" activePane="bottomRight" state="frozenSplit"/>
      <selection/>
      <selection pane="topRight"/>
      <selection pane="bottomLeft"/>
      <selection pane="bottomRight" activeCell="A1" sqref="A1:W1"/>
    </sheetView>
  </sheetViews>
  <sheetFormatPr defaultColWidth="10" defaultRowHeight="15" customHeight="1"/>
  <cols>
    <col min="1" max="1" width="6.5" style="324" customWidth="1"/>
    <col min="2" max="3" width="13.8333333333333" style="324" hidden="1" customWidth="1"/>
    <col min="4" max="4" width="13.6666666666667" style="324" customWidth="1"/>
    <col min="5" max="5" width="39.3333333333333" style="324" customWidth="1"/>
    <col min="6" max="6" width="9.33333333333333" style="324" customWidth="1"/>
    <col min="7" max="7" width="9.5" style="324"/>
    <col min="8" max="10" width="8.83333333333333" style="324"/>
    <col min="11" max="11" width="8.33333333333333" style="324"/>
    <col min="12" max="13" width="10" style="324" customWidth="1"/>
    <col min="14" max="14" width="9.33333333333333" style="324" customWidth="1"/>
    <col min="15" max="15" width="14" style="324" customWidth="1"/>
    <col min="16" max="16" width="12.5" style="324" customWidth="1"/>
    <col min="17" max="17" width="10.8333333333333" style="324" hidden="1" customWidth="1"/>
    <col min="18" max="19" width="12.5" style="324" customWidth="1"/>
    <col min="20" max="20" width="15.8333333333333" style="324" customWidth="1"/>
    <col min="21" max="21" width="12.5" style="324" hidden="1" customWidth="1"/>
    <col min="22" max="23" width="15.8333333333333" style="324" customWidth="1"/>
    <col min="24" max="26" width="7.83333333333333" style="324" customWidth="1"/>
    <col min="27" max="28" width="28.3333333333333" style="325" customWidth="1"/>
    <col min="29" max="36" width="10" style="324" hidden="1" customWidth="1"/>
    <col min="37" max="37" width="25" style="325" customWidth="1"/>
    <col min="38" max="16384" width="10" style="324"/>
  </cols>
  <sheetData>
    <row r="1" ht="24.75" customHeight="1" spans="1:1">
      <c r="A1" s="6" t="s">
        <v>0</v>
      </c>
    </row>
    <row r="2" ht="21.75" customHeight="1" spans="1:1">
      <c r="A2" s="7" t="s">
        <v>1</v>
      </c>
    </row>
    <row r="3" ht="26.25" customHeight="1" spans="1:1">
      <c r="A3" s="8" t="s">
        <v>2</v>
      </c>
    </row>
    <row r="4" customHeight="1" spans="1:37">
      <c r="A4" s="231" t="s">
        <v>3</v>
      </c>
      <c r="B4" s="233" t="s">
        <v>4</v>
      </c>
      <c r="C4" s="233"/>
      <c r="D4" s="43"/>
      <c r="E4" s="232" t="s">
        <v>5</v>
      </c>
      <c r="F4" s="232" t="s">
        <v>6</v>
      </c>
      <c r="G4" s="43" t="s">
        <v>7</v>
      </c>
      <c r="H4" s="233" t="s">
        <v>8</v>
      </c>
      <c r="I4" s="233"/>
      <c r="J4" s="43"/>
      <c r="K4" s="43" t="s">
        <v>9</v>
      </c>
      <c r="L4" s="43" t="s">
        <v>10</v>
      </c>
      <c r="M4" s="43" t="s">
        <v>11</v>
      </c>
      <c r="N4" s="43" t="s">
        <v>12</v>
      </c>
      <c r="O4" s="232" t="s">
        <v>13</v>
      </c>
      <c r="P4" s="233" t="s">
        <v>14</v>
      </c>
      <c r="Q4" s="233"/>
      <c r="R4" s="233"/>
      <c r="S4" s="43"/>
      <c r="T4" s="233" t="s">
        <v>15</v>
      </c>
      <c r="U4" s="233"/>
      <c r="V4" s="233"/>
      <c r="W4" s="43"/>
      <c r="X4" s="233" t="s">
        <v>16</v>
      </c>
      <c r="Y4" s="233"/>
      <c r="Z4" s="43"/>
      <c r="AA4" s="325" t="s">
        <v>17</v>
      </c>
      <c r="AC4" s="343" t="s">
        <v>18</v>
      </c>
      <c r="AD4" s="343"/>
      <c r="AE4" s="343"/>
      <c r="AF4" s="343" t="s">
        <v>19</v>
      </c>
      <c r="AG4" s="343"/>
      <c r="AH4" s="343"/>
      <c r="AI4" s="343" t="s">
        <v>20</v>
      </c>
      <c r="AJ4" s="343"/>
      <c r="AK4" s="325" t="s">
        <v>21</v>
      </c>
    </row>
    <row r="5" customHeight="1" spans="1:36">
      <c r="A5" s="234"/>
      <c r="B5" s="235" t="s">
        <v>22</v>
      </c>
      <c r="C5" s="235" t="s">
        <v>23</v>
      </c>
      <c r="D5" s="235" t="s">
        <v>14</v>
      </c>
      <c r="E5" s="235"/>
      <c r="F5" s="235"/>
      <c r="G5" s="235" t="s">
        <v>24</v>
      </c>
      <c r="H5" s="235" t="s">
        <v>25</v>
      </c>
      <c r="I5" s="235" t="s">
        <v>26</v>
      </c>
      <c r="J5" s="235" t="s">
        <v>27</v>
      </c>
      <c r="K5" s="235" t="s">
        <v>28</v>
      </c>
      <c r="L5" s="235" t="s">
        <v>25</v>
      </c>
      <c r="M5" s="235" t="s">
        <v>29</v>
      </c>
      <c r="N5" s="235" t="s">
        <v>30</v>
      </c>
      <c r="O5" s="235"/>
      <c r="P5" s="235" t="s">
        <v>31</v>
      </c>
      <c r="Q5" s="235" t="s">
        <v>32</v>
      </c>
      <c r="R5" s="235" t="s">
        <v>33</v>
      </c>
      <c r="S5" s="235" t="s">
        <v>34</v>
      </c>
      <c r="T5" s="235" t="s">
        <v>31</v>
      </c>
      <c r="U5" s="235" t="s">
        <v>32</v>
      </c>
      <c r="V5" s="235" t="s">
        <v>33</v>
      </c>
      <c r="W5" s="235" t="s">
        <v>35</v>
      </c>
      <c r="X5" s="235" t="s">
        <v>36</v>
      </c>
      <c r="Y5" s="235" t="s">
        <v>37</v>
      </c>
      <c r="Z5" s="235" t="s">
        <v>38</v>
      </c>
      <c r="AA5" s="325" t="s">
        <v>14</v>
      </c>
      <c r="AB5" s="325" t="s">
        <v>39</v>
      </c>
      <c r="AC5" s="343" t="s">
        <v>31</v>
      </c>
      <c r="AD5" s="343" t="s">
        <v>33</v>
      </c>
      <c r="AE5" s="343" t="s">
        <v>34</v>
      </c>
      <c r="AF5" s="343" t="s">
        <v>31</v>
      </c>
      <c r="AG5" s="343" t="s">
        <v>33</v>
      </c>
      <c r="AH5" s="343" t="s">
        <v>34</v>
      </c>
      <c r="AI5" s="343" t="s">
        <v>40</v>
      </c>
      <c r="AJ5" s="343" t="s">
        <v>41</v>
      </c>
    </row>
    <row r="6" ht="28.5" customHeight="1" spans="1:26">
      <c r="A6" s="326"/>
      <c r="B6" s="327"/>
      <c r="C6" s="327"/>
      <c r="D6" s="328" t="s">
        <v>42</v>
      </c>
      <c r="E6" s="328" t="s">
        <v>2</v>
      </c>
      <c r="F6" s="328"/>
      <c r="G6" s="329"/>
      <c r="H6" s="329"/>
      <c r="I6" s="329"/>
      <c r="J6" s="329"/>
      <c r="K6" s="329"/>
      <c r="L6" s="329"/>
      <c r="M6" s="329"/>
      <c r="N6" s="329">
        <v>4</v>
      </c>
      <c r="O6" s="336"/>
      <c r="P6" s="336"/>
      <c r="Q6" s="337"/>
      <c r="R6" s="336"/>
      <c r="S6" s="336"/>
      <c r="T6" s="336"/>
      <c r="U6" s="337"/>
      <c r="V6" s="336"/>
      <c r="W6" s="336"/>
      <c r="X6" s="336"/>
      <c r="Y6" s="336"/>
      <c r="Z6" s="336"/>
    </row>
    <row r="7" customHeight="1" spans="1:26">
      <c r="A7" s="326"/>
      <c r="B7" s="327"/>
      <c r="C7" s="327"/>
      <c r="D7" s="330"/>
      <c r="E7" s="331" t="s">
        <v>43</v>
      </c>
      <c r="F7" s="330"/>
      <c r="G7" s="329"/>
      <c r="H7" s="329"/>
      <c r="I7" s="329"/>
      <c r="J7" s="329"/>
      <c r="K7" s="329"/>
      <c r="L7" s="329"/>
      <c r="M7" s="329"/>
      <c r="N7" s="329"/>
      <c r="O7" s="329"/>
      <c r="P7" s="337"/>
      <c r="Q7" s="337"/>
      <c r="R7" s="337"/>
      <c r="S7" s="337"/>
      <c r="T7" s="337"/>
      <c r="U7" s="337"/>
      <c r="V7" s="337"/>
      <c r="W7" s="337"/>
      <c r="X7" s="339"/>
      <c r="Y7" s="339"/>
      <c r="Z7" s="339"/>
    </row>
    <row r="8" ht="38.25" customHeight="1" spans="1:37">
      <c r="A8" s="326">
        <v>1</v>
      </c>
      <c r="B8" s="327" t="s">
        <v>44</v>
      </c>
      <c r="C8" s="327"/>
      <c r="D8" s="330" t="s">
        <v>44</v>
      </c>
      <c r="E8" s="331" t="s">
        <v>45</v>
      </c>
      <c r="F8" s="330" t="s">
        <v>46</v>
      </c>
      <c r="G8" s="329"/>
      <c r="H8" s="329"/>
      <c r="I8" s="329"/>
      <c r="J8" s="329"/>
      <c r="K8" s="329"/>
      <c r="L8" s="329">
        <f>ROUND(SUM(L9:L9),4)</f>
        <v>5</v>
      </c>
      <c r="M8" s="329">
        <f>ROUND(SUM(M9:M9),4)</f>
        <v>58.2</v>
      </c>
      <c r="N8" s="329"/>
      <c r="O8" s="329">
        <f>ROUND(SUM(N8:N9),4)</f>
        <v>0.5936</v>
      </c>
      <c r="P8" s="337"/>
      <c r="Q8" s="337"/>
      <c r="R8" s="337">
        <v>1216642</v>
      </c>
      <c r="S8" s="337">
        <v>932531</v>
      </c>
      <c r="T8" s="337">
        <f>ROUND(ROUND(O8,4)*P8,0)</f>
        <v>0</v>
      </c>
      <c r="U8" s="337">
        <f>ROUND(ROUND(O8,4)*Q8,0)</f>
        <v>0</v>
      </c>
      <c r="V8" s="337">
        <f>ROUND(ROUND(O8,4)*R8,0)</f>
        <v>722199</v>
      </c>
      <c r="W8" s="337">
        <f>ROUND(ROUND(O8,4)*S8,0)</f>
        <v>553550</v>
      </c>
      <c r="X8" s="339"/>
      <c r="Y8" s="339"/>
      <c r="Z8" s="339"/>
      <c r="AA8" s="325" t="s">
        <v>47</v>
      </c>
      <c r="AB8" s="325" t="s">
        <v>48</v>
      </c>
      <c r="AD8" s="324" t="s">
        <v>49</v>
      </c>
      <c r="AE8" s="324" t="s">
        <v>50</v>
      </c>
      <c r="AK8" s="325" t="s">
        <v>51</v>
      </c>
    </row>
    <row r="9" ht="16.5" customHeight="1" spans="1:26">
      <c r="A9" s="326"/>
      <c r="B9" s="327"/>
      <c r="C9" s="327"/>
      <c r="D9" s="330"/>
      <c r="E9" s="332" t="s">
        <v>52</v>
      </c>
      <c r="F9" s="330"/>
      <c r="G9" s="329">
        <v>1</v>
      </c>
      <c r="H9" s="329">
        <v>5</v>
      </c>
      <c r="I9" s="329">
        <v>11.64</v>
      </c>
      <c r="J9" s="329">
        <f>1.7-0.5</f>
        <v>1.2</v>
      </c>
      <c r="K9" s="329">
        <f>0.85/100</f>
        <v>0.0085</v>
      </c>
      <c r="L9" s="329">
        <f>ROUND(G9*H9,4)</f>
        <v>5</v>
      </c>
      <c r="M9" s="329">
        <f>ROUND(G9*H9*I9,4)</f>
        <v>58.2</v>
      </c>
      <c r="N9" s="329">
        <f>ROUND(G9*H9*I9*J9*K9,4)</f>
        <v>0.5936</v>
      </c>
      <c r="O9" s="329"/>
      <c r="P9" s="337"/>
      <c r="Q9" s="337"/>
      <c r="R9" s="337"/>
      <c r="S9" s="337"/>
      <c r="T9" s="337"/>
      <c r="U9" s="337"/>
      <c r="V9" s="337"/>
      <c r="W9" s="337"/>
      <c r="X9" s="339"/>
      <c r="Y9" s="339"/>
      <c r="Z9" s="339"/>
    </row>
    <row r="10" ht="27" customHeight="1" spans="1:37">
      <c r="A10" s="326">
        <v>2</v>
      </c>
      <c r="B10" s="327" t="s">
        <v>53</v>
      </c>
      <c r="C10" s="327"/>
      <c r="D10" s="330" t="s">
        <v>53</v>
      </c>
      <c r="E10" s="331" t="s">
        <v>54</v>
      </c>
      <c r="F10" s="330" t="s">
        <v>55</v>
      </c>
      <c r="G10" s="329"/>
      <c r="H10" s="329"/>
      <c r="I10" s="329"/>
      <c r="J10" s="329"/>
      <c r="K10" s="329"/>
      <c r="L10" s="329">
        <f>ROUND(SUM(L11:L12),4)</f>
        <v>5</v>
      </c>
      <c r="M10" s="329">
        <f>ROUND(SUM(M11:M12),4)</f>
        <v>58.2</v>
      </c>
      <c r="N10" s="329"/>
      <c r="O10" s="329">
        <f>ROUND(SUM(N10:N12),4)</f>
        <v>10.476</v>
      </c>
      <c r="P10" s="337"/>
      <c r="Q10" s="337"/>
      <c r="R10" s="337">
        <v>135404</v>
      </c>
      <c r="S10" s="337"/>
      <c r="T10" s="337">
        <f>ROUND(ROUND(O10,4)*P10,0)</f>
        <v>0</v>
      </c>
      <c r="U10" s="337">
        <f>ROUND(ROUND(O10,4)*Q10,0)</f>
        <v>0</v>
      </c>
      <c r="V10" s="337">
        <f>ROUND(ROUND(O10,4)*R10,0)</f>
        <v>1418492</v>
      </c>
      <c r="W10" s="337">
        <f>ROUND(ROUND(O10,4)*S10,0)</f>
        <v>0</v>
      </c>
      <c r="X10" s="339"/>
      <c r="Y10" s="339"/>
      <c r="Z10" s="339"/>
      <c r="AA10" s="325" t="s">
        <v>47</v>
      </c>
      <c r="AB10" s="325" t="s">
        <v>48</v>
      </c>
      <c r="AD10" s="324" t="s">
        <v>56</v>
      </c>
      <c r="AK10" s="325" t="s">
        <v>51</v>
      </c>
    </row>
    <row r="11" ht="16.5" customHeight="1" spans="1:26">
      <c r="A11" s="326"/>
      <c r="B11" s="327"/>
      <c r="C11" s="327"/>
      <c r="D11" s="330"/>
      <c r="E11" s="332" t="s">
        <v>52</v>
      </c>
      <c r="F11" s="330"/>
      <c r="G11" s="329">
        <v>1</v>
      </c>
      <c r="H11" s="329">
        <v>5</v>
      </c>
      <c r="I11" s="329">
        <v>11.64</v>
      </c>
      <c r="J11" s="329">
        <f>1.7-0.5</f>
        <v>1.2</v>
      </c>
      <c r="K11" s="329">
        <v>0.15</v>
      </c>
      <c r="L11" s="329">
        <f>ROUND(G11*H11,4)</f>
        <v>5</v>
      </c>
      <c r="M11" s="329">
        <f>ROUND(G11*H11*I11,4)</f>
        <v>58.2</v>
      </c>
      <c r="N11" s="329">
        <f>ROUND(G11*H11*I11*J11*K11,4)</f>
        <v>10.476</v>
      </c>
      <c r="O11" s="329"/>
      <c r="P11" s="337"/>
      <c r="Q11" s="337"/>
      <c r="R11" s="337"/>
      <c r="S11" s="337"/>
      <c r="T11" s="337"/>
      <c r="U11" s="337"/>
      <c r="V11" s="337"/>
      <c r="W11" s="337"/>
      <c r="X11" s="339"/>
      <c r="Y11" s="339"/>
      <c r="Z11" s="339"/>
    </row>
    <row r="12" ht="16.5" customHeight="1" spans="1:26">
      <c r="A12" s="326"/>
      <c r="B12" s="327"/>
      <c r="C12" s="327"/>
      <c r="D12" s="330"/>
      <c r="E12" s="333" t="s">
        <v>57</v>
      </c>
      <c r="F12" s="330"/>
      <c r="G12" s="329"/>
      <c r="H12" s="329"/>
      <c r="I12" s="329"/>
      <c r="J12" s="329"/>
      <c r="K12" s="329"/>
      <c r="L12" s="329"/>
      <c r="M12" s="329"/>
      <c r="N12" s="329"/>
      <c r="O12" s="329"/>
      <c r="P12" s="337"/>
      <c r="Q12" s="337"/>
      <c r="R12" s="337"/>
      <c r="S12" s="337"/>
      <c r="T12" s="337"/>
      <c r="U12" s="337"/>
      <c r="V12" s="337"/>
      <c r="W12" s="337"/>
      <c r="X12" s="339"/>
      <c r="Y12" s="339"/>
      <c r="Z12" s="339"/>
    </row>
    <row r="13" ht="27" customHeight="1" spans="1:37">
      <c r="A13" s="326">
        <v>3</v>
      </c>
      <c r="B13" s="327" t="s">
        <v>58</v>
      </c>
      <c r="C13" s="327"/>
      <c r="D13" s="330" t="s">
        <v>58</v>
      </c>
      <c r="E13" s="331" t="s">
        <v>59</v>
      </c>
      <c r="F13" s="330" t="s">
        <v>46</v>
      </c>
      <c r="G13" s="329"/>
      <c r="H13" s="329"/>
      <c r="I13" s="329"/>
      <c r="J13" s="329"/>
      <c r="K13" s="329"/>
      <c r="L13" s="329">
        <f>ROUND(SUM(L14:L24),4)</f>
        <v>-84.316</v>
      </c>
      <c r="M13" s="329">
        <f>ROUND(SUM(M14:M24),4)</f>
        <v>-22.3826</v>
      </c>
      <c r="N13" s="329"/>
      <c r="O13" s="329">
        <f>ROUND(SUM(N13:N24),4)</f>
        <v>0.5296</v>
      </c>
      <c r="P13" s="337"/>
      <c r="Q13" s="337"/>
      <c r="R13" s="337">
        <v>2067879</v>
      </c>
      <c r="S13" s="337">
        <v>1385374</v>
      </c>
      <c r="T13" s="337">
        <f>ROUND(ROUND(O13,4)*P13,0)</f>
        <v>0</v>
      </c>
      <c r="U13" s="337">
        <f>ROUND(ROUND(O13,4)*Q13,0)</f>
        <v>0</v>
      </c>
      <c r="V13" s="337">
        <f>ROUND(ROUND(O13,4)*R13,0)</f>
        <v>1095149</v>
      </c>
      <c r="W13" s="337">
        <f>ROUND(ROUND(O13,4)*S13,0)</f>
        <v>733694</v>
      </c>
      <c r="X13" s="339"/>
      <c r="Y13" s="339"/>
      <c r="Z13" s="339"/>
      <c r="AA13" s="325" t="s">
        <v>47</v>
      </c>
      <c r="AB13" s="325" t="s">
        <v>48</v>
      </c>
      <c r="AD13" s="324" t="s">
        <v>60</v>
      </c>
      <c r="AE13" s="324" t="s">
        <v>61</v>
      </c>
      <c r="AK13" s="325" t="s">
        <v>51</v>
      </c>
    </row>
    <row r="14" ht="16.5" customHeight="1" spans="1:26">
      <c r="A14" s="326"/>
      <c r="B14" s="327"/>
      <c r="C14" s="327"/>
      <c r="D14" s="330"/>
      <c r="E14" s="332" t="s">
        <v>62</v>
      </c>
      <c r="F14" s="330"/>
      <c r="G14" s="329">
        <v>1</v>
      </c>
      <c r="H14" s="329">
        <f>O8+O10/100</f>
        <v>0.69836</v>
      </c>
      <c r="I14" s="329"/>
      <c r="J14" s="329"/>
      <c r="K14" s="329"/>
      <c r="L14" s="329">
        <f t="shared" ref="L14:L19" si="0">ROUND(G14*H14,4)</f>
        <v>0.6984</v>
      </c>
      <c r="M14" s="329">
        <f>ROUND(G14*H14,4)</f>
        <v>0.6984</v>
      </c>
      <c r="N14" s="329">
        <f>ROUND(G14*H14,4)</f>
        <v>0.6984</v>
      </c>
      <c r="O14" s="329"/>
      <c r="P14" s="337"/>
      <c r="Q14" s="337"/>
      <c r="R14" s="337"/>
      <c r="S14" s="337"/>
      <c r="T14" s="337"/>
      <c r="U14" s="337"/>
      <c r="V14" s="337"/>
      <c r="W14" s="337"/>
      <c r="X14" s="339"/>
      <c r="Y14" s="339"/>
      <c r="Z14" s="339"/>
    </row>
    <row r="15" ht="16.5" customHeight="1" spans="1:26">
      <c r="A15" s="326"/>
      <c r="B15" s="327"/>
      <c r="C15" s="327"/>
      <c r="D15" s="330"/>
      <c r="E15" s="332" t="s">
        <v>63</v>
      </c>
      <c r="F15" s="330"/>
      <c r="G15" s="329">
        <v>-1</v>
      </c>
      <c r="H15" s="329">
        <f>O37</f>
        <v>2.3606</v>
      </c>
      <c r="I15" s="329"/>
      <c r="J15" s="329"/>
      <c r="K15" s="329">
        <v>0.01</v>
      </c>
      <c r="L15" s="329">
        <f t="shared" si="0"/>
        <v>-2.3606</v>
      </c>
      <c r="M15" s="329">
        <f>ROUND(G15*H15,4)</f>
        <v>-2.3606</v>
      </c>
      <c r="N15" s="329">
        <f>ROUND(G15*H15*K15,4)</f>
        <v>-0.0236</v>
      </c>
      <c r="O15" s="329"/>
      <c r="P15" s="337"/>
      <c r="Q15" s="337"/>
      <c r="R15" s="337"/>
      <c r="S15" s="337"/>
      <c r="T15" s="337"/>
      <c r="U15" s="337"/>
      <c r="V15" s="337"/>
      <c r="W15" s="337"/>
      <c r="X15" s="339"/>
      <c r="Y15" s="339"/>
      <c r="Z15" s="339"/>
    </row>
    <row r="16" ht="16.5" customHeight="1" spans="1:26">
      <c r="A16" s="326"/>
      <c r="B16" s="327"/>
      <c r="C16" s="327"/>
      <c r="D16" s="330"/>
      <c r="E16" s="332" t="s">
        <v>64</v>
      </c>
      <c r="F16" s="330"/>
      <c r="G16" s="329">
        <v>-12</v>
      </c>
      <c r="H16" s="329">
        <f>3.14</f>
        <v>3.14</v>
      </c>
      <c r="I16" s="329">
        <f>0.15^2</f>
        <v>0.0225</v>
      </c>
      <c r="J16" s="329">
        <v>0.1</v>
      </c>
      <c r="K16" s="329">
        <v>0.01</v>
      </c>
      <c r="L16" s="329">
        <f t="shared" si="0"/>
        <v>-37.68</v>
      </c>
      <c r="M16" s="329">
        <f>ROUND(G16*H16*I16,4)</f>
        <v>-0.8478</v>
      </c>
      <c r="N16" s="329">
        <f>ROUND(G16*H16*I16*J16*K16,4)</f>
        <v>-0.0008</v>
      </c>
      <c r="O16" s="329"/>
      <c r="P16" s="337"/>
      <c r="Q16" s="337"/>
      <c r="R16" s="337"/>
      <c r="S16" s="337"/>
      <c r="T16" s="337"/>
      <c r="U16" s="337"/>
      <c r="V16" s="337"/>
      <c r="W16" s="337"/>
      <c r="X16" s="339"/>
      <c r="Y16" s="339"/>
      <c r="Z16" s="339"/>
    </row>
    <row r="17" ht="26.25" customHeight="1" spans="1:26">
      <c r="A17" s="326"/>
      <c r="B17" s="327"/>
      <c r="C17" s="327"/>
      <c r="D17" s="330"/>
      <c r="E17" s="332" t="s">
        <v>65</v>
      </c>
      <c r="F17" s="330"/>
      <c r="G17" s="329">
        <v>-1</v>
      </c>
      <c r="H17" s="329">
        <f>O94</f>
        <v>7.189</v>
      </c>
      <c r="I17" s="329"/>
      <c r="J17" s="329"/>
      <c r="K17" s="329">
        <v>0.01</v>
      </c>
      <c r="L17" s="329">
        <f t="shared" si="0"/>
        <v>-7.189</v>
      </c>
      <c r="M17" s="329">
        <f>ROUND(G17*H17,4)</f>
        <v>-7.189</v>
      </c>
      <c r="N17" s="329">
        <f>ROUND(G17*H17*K17,4)</f>
        <v>-0.0719</v>
      </c>
      <c r="O17" s="329"/>
      <c r="P17" s="337"/>
      <c r="Q17" s="337"/>
      <c r="R17" s="337"/>
      <c r="S17" s="337"/>
      <c r="T17" s="337"/>
      <c r="U17" s="337"/>
      <c r="V17" s="337"/>
      <c r="W17" s="337"/>
      <c r="X17" s="339"/>
      <c r="Y17" s="339"/>
      <c r="Z17" s="339"/>
    </row>
    <row r="18" ht="16.5" customHeight="1" spans="1:26">
      <c r="A18" s="326"/>
      <c r="B18" s="327"/>
      <c r="C18" s="327"/>
      <c r="D18" s="330"/>
      <c r="E18" s="332"/>
      <c r="F18" s="330"/>
      <c r="G18" s="329">
        <v>-1</v>
      </c>
      <c r="H18" s="329">
        <f>O100</f>
        <v>5.0544</v>
      </c>
      <c r="I18" s="329"/>
      <c r="J18" s="329"/>
      <c r="K18" s="329">
        <v>0.01</v>
      </c>
      <c r="L18" s="329">
        <f t="shared" si="0"/>
        <v>-5.0544</v>
      </c>
      <c r="M18" s="329">
        <f>ROUND(G18*H18,4)</f>
        <v>-5.0544</v>
      </c>
      <c r="N18" s="329">
        <f>ROUND(G18*H18*K18,4)</f>
        <v>-0.0505</v>
      </c>
      <c r="O18" s="329"/>
      <c r="P18" s="337"/>
      <c r="Q18" s="337"/>
      <c r="R18" s="337"/>
      <c r="S18" s="337"/>
      <c r="T18" s="337"/>
      <c r="U18" s="337"/>
      <c r="V18" s="337"/>
      <c r="W18" s="337"/>
      <c r="X18" s="339"/>
      <c r="Y18" s="339"/>
      <c r="Z18" s="339"/>
    </row>
    <row r="19" ht="16.5" customHeight="1" spans="1:26">
      <c r="A19" s="326"/>
      <c r="B19" s="327"/>
      <c r="C19" s="327"/>
      <c r="D19" s="330"/>
      <c r="E19" s="332"/>
      <c r="F19" s="330"/>
      <c r="G19" s="329">
        <v>-1</v>
      </c>
      <c r="H19" s="329">
        <f>O119</f>
        <v>0.2904</v>
      </c>
      <c r="I19" s="329">
        <f>0.3/0.75</f>
        <v>0.4</v>
      </c>
      <c r="J19" s="329"/>
      <c r="K19" s="329">
        <v>0.01</v>
      </c>
      <c r="L19" s="329">
        <f t="shared" si="0"/>
        <v>-0.2904</v>
      </c>
      <c r="M19" s="329">
        <f>ROUND(G19*H19*I19,4)</f>
        <v>-0.1162</v>
      </c>
      <c r="N19" s="329">
        <f>ROUND(G19*H19*I19*K19,4)</f>
        <v>-0.0012</v>
      </c>
      <c r="O19" s="329"/>
      <c r="P19" s="337"/>
      <c r="Q19" s="337"/>
      <c r="R19" s="337"/>
      <c r="S19" s="337"/>
      <c r="T19" s="337"/>
      <c r="U19" s="337"/>
      <c r="V19" s="337"/>
      <c r="W19" s="337"/>
      <c r="X19" s="339"/>
      <c r="Y19" s="339"/>
      <c r="Z19" s="339"/>
    </row>
    <row r="20" ht="16.5" customHeight="1" spans="1:26">
      <c r="A20" s="326"/>
      <c r="B20" s="327"/>
      <c r="C20" s="327"/>
      <c r="D20" s="330"/>
      <c r="E20" s="333" t="s">
        <v>66</v>
      </c>
      <c r="F20" s="330"/>
      <c r="G20" s="329"/>
      <c r="H20" s="329"/>
      <c r="I20" s="329"/>
      <c r="J20" s="329"/>
      <c r="K20" s="329"/>
      <c r="L20" s="329"/>
      <c r="M20" s="329"/>
      <c r="N20" s="329"/>
      <c r="O20" s="329"/>
      <c r="P20" s="337"/>
      <c r="Q20" s="337"/>
      <c r="R20" s="337"/>
      <c r="S20" s="337"/>
      <c r="T20" s="337"/>
      <c r="U20" s="337"/>
      <c r="V20" s="337"/>
      <c r="W20" s="337"/>
      <c r="X20" s="339"/>
      <c r="Y20" s="339"/>
      <c r="Z20" s="339"/>
    </row>
    <row r="21" ht="16.5" customHeight="1" spans="1:26">
      <c r="A21" s="326"/>
      <c r="B21" s="327"/>
      <c r="C21" s="327"/>
      <c r="D21" s="330"/>
      <c r="E21" s="332" t="s">
        <v>67</v>
      </c>
      <c r="F21" s="330"/>
      <c r="G21" s="329">
        <v>-1</v>
      </c>
      <c r="H21" s="329">
        <v>4.56</v>
      </c>
      <c r="I21" s="329">
        <v>0.22</v>
      </c>
      <c r="J21" s="329">
        <v>0.3</v>
      </c>
      <c r="K21" s="329">
        <v>0.01</v>
      </c>
      <c r="L21" s="329">
        <f>ROUND(G21*H21,4)</f>
        <v>-4.56</v>
      </c>
      <c r="M21" s="329">
        <f>ROUND(G21*H21*I21,4)</f>
        <v>-1.0032</v>
      </c>
      <c r="N21" s="329">
        <f>ROUND(G21*H21*I21*J21*K21,4)</f>
        <v>-0.003</v>
      </c>
      <c r="O21" s="329"/>
      <c r="P21" s="337"/>
      <c r="Q21" s="337"/>
      <c r="R21" s="337"/>
      <c r="S21" s="337"/>
      <c r="T21" s="337"/>
      <c r="U21" s="337"/>
      <c r="V21" s="337"/>
      <c r="W21" s="337"/>
      <c r="X21" s="339"/>
      <c r="Y21" s="339"/>
      <c r="Z21" s="339"/>
    </row>
    <row r="22" ht="16.5" customHeight="1" spans="1:26">
      <c r="A22" s="326"/>
      <c r="B22" s="327"/>
      <c r="C22" s="327"/>
      <c r="D22" s="330"/>
      <c r="E22" s="332" t="s">
        <v>68</v>
      </c>
      <c r="F22" s="330"/>
      <c r="G22" s="329">
        <v>-1</v>
      </c>
      <c r="H22" s="329">
        <f>(11.4-0.22*4)*2+4.56</f>
        <v>25.6</v>
      </c>
      <c r="I22" s="329">
        <v>0.22</v>
      </c>
      <c r="J22" s="329">
        <v>0.3</v>
      </c>
      <c r="K22" s="329">
        <v>0.01</v>
      </c>
      <c r="L22" s="329">
        <f>ROUND(G22*H22,4)</f>
        <v>-25.6</v>
      </c>
      <c r="M22" s="329">
        <f>ROUND(G22*H22*I22,4)</f>
        <v>-5.632</v>
      </c>
      <c r="N22" s="329">
        <f>ROUND(G22*H22*I22*J22*K22,4)</f>
        <v>-0.0169</v>
      </c>
      <c r="O22" s="329"/>
      <c r="P22" s="337"/>
      <c r="Q22" s="337"/>
      <c r="R22" s="337"/>
      <c r="S22" s="337"/>
      <c r="T22" s="337"/>
      <c r="U22" s="337"/>
      <c r="V22" s="337"/>
      <c r="W22" s="337"/>
      <c r="X22" s="339"/>
      <c r="Y22" s="339"/>
      <c r="Z22" s="339"/>
    </row>
    <row r="23" ht="16.5" customHeight="1" spans="1:26">
      <c r="A23" s="326"/>
      <c r="B23" s="327"/>
      <c r="C23" s="327"/>
      <c r="D23" s="330"/>
      <c r="E23" s="332" t="s">
        <v>69</v>
      </c>
      <c r="F23" s="330"/>
      <c r="G23" s="329">
        <v>-1</v>
      </c>
      <c r="H23" s="329">
        <v>1.14</v>
      </c>
      <c r="I23" s="329">
        <v>0.44</v>
      </c>
      <c r="J23" s="329">
        <v>0.14</v>
      </c>
      <c r="K23" s="329">
        <v>0.01</v>
      </c>
      <c r="L23" s="329">
        <f>ROUND(G23*H23,4)</f>
        <v>-1.14</v>
      </c>
      <c r="M23" s="329">
        <f>ROUND(G23*H23*I23,4)</f>
        <v>-0.5016</v>
      </c>
      <c r="N23" s="329">
        <f>ROUND(G23*H23*I23*J23*K23,4)</f>
        <v>-0.0007</v>
      </c>
      <c r="O23" s="329"/>
      <c r="P23" s="337"/>
      <c r="Q23" s="337"/>
      <c r="R23" s="337"/>
      <c r="S23" s="337"/>
      <c r="T23" s="337"/>
      <c r="U23" s="337"/>
      <c r="V23" s="337"/>
      <c r="W23" s="337"/>
      <c r="X23" s="339"/>
      <c r="Y23" s="339"/>
      <c r="Z23" s="339"/>
    </row>
    <row r="24" ht="16.5" customHeight="1" spans="1:26">
      <c r="A24" s="326"/>
      <c r="B24" s="327"/>
      <c r="C24" s="327"/>
      <c r="D24" s="330"/>
      <c r="E24" s="332"/>
      <c r="F24" s="330"/>
      <c r="G24" s="329">
        <v>-1</v>
      </c>
      <c r="H24" s="329">
        <v>1.14</v>
      </c>
      <c r="I24" s="329">
        <v>0.33</v>
      </c>
      <c r="J24" s="329">
        <v>0.06</v>
      </c>
      <c r="K24" s="329">
        <v>0.01</v>
      </c>
      <c r="L24" s="329">
        <f>ROUND(G24*H24,4)</f>
        <v>-1.14</v>
      </c>
      <c r="M24" s="329">
        <f>ROUND(G24*H24*I24,4)</f>
        <v>-0.3762</v>
      </c>
      <c r="N24" s="329">
        <f>ROUND(G24*H24*I24*J24*K24,4)</f>
        <v>-0.0002</v>
      </c>
      <c r="O24" s="329"/>
      <c r="P24" s="337"/>
      <c r="Q24" s="337"/>
      <c r="R24" s="337"/>
      <c r="S24" s="337"/>
      <c r="T24" s="337"/>
      <c r="U24" s="337"/>
      <c r="V24" s="337"/>
      <c r="W24" s="337"/>
      <c r="X24" s="339"/>
      <c r="Y24" s="339"/>
      <c r="Z24" s="339"/>
    </row>
    <row r="25" ht="26.25" customHeight="1" spans="1:31">
      <c r="A25" s="326">
        <v>4</v>
      </c>
      <c r="B25" s="327" t="s">
        <v>70</v>
      </c>
      <c r="C25" s="327"/>
      <c r="D25" s="330" t="s">
        <v>70</v>
      </c>
      <c r="E25" s="331" t="s">
        <v>71</v>
      </c>
      <c r="F25" s="330" t="s">
        <v>46</v>
      </c>
      <c r="G25" s="329"/>
      <c r="H25" s="329"/>
      <c r="I25" s="329"/>
      <c r="J25" s="329"/>
      <c r="K25" s="329"/>
      <c r="L25" s="329">
        <f>ROUND(SUM(L26:L29),4)</f>
        <v>8.68</v>
      </c>
      <c r="M25" s="329">
        <f>ROUND(SUM(M26:M29),4)</f>
        <v>49.3506</v>
      </c>
      <c r="N25" s="329"/>
      <c r="O25" s="329">
        <f>ROUND(SUM(N25:N29),4)</f>
        <v>0.1418</v>
      </c>
      <c r="P25" s="337">
        <v>6710000</v>
      </c>
      <c r="Q25" s="337"/>
      <c r="R25" s="337">
        <v>923931</v>
      </c>
      <c r="S25" s="337">
        <v>738072</v>
      </c>
      <c r="T25" s="337">
        <f>ROUND(ROUND(O25,4)*P25,0)</f>
        <v>951478</v>
      </c>
      <c r="U25" s="337">
        <f>ROUND(ROUND(O25,4)*Q25,0)</f>
        <v>0</v>
      </c>
      <c r="V25" s="337">
        <f>ROUND(ROUND(O25,4)*R25,0)</f>
        <v>131013</v>
      </c>
      <c r="W25" s="337">
        <f>ROUND(ROUND(O25,4)*S25,0)</f>
        <v>104659</v>
      </c>
      <c r="X25" s="339"/>
      <c r="Y25" s="339"/>
      <c r="Z25" s="339"/>
      <c r="AC25" s="324" t="s">
        <v>72</v>
      </c>
      <c r="AD25" s="324" t="s">
        <v>73</v>
      </c>
      <c r="AE25" s="324" t="s">
        <v>74</v>
      </c>
    </row>
    <row r="26" ht="16.5" customHeight="1" spans="1:26">
      <c r="A26" s="326"/>
      <c r="B26" s="327"/>
      <c r="C26" s="327"/>
      <c r="D26" s="330"/>
      <c r="E26" s="332" t="s">
        <v>75</v>
      </c>
      <c r="F26" s="330"/>
      <c r="G26" s="329">
        <v>1</v>
      </c>
      <c r="H26" s="329">
        <v>6.28</v>
      </c>
      <c r="I26" s="329">
        <v>4.56</v>
      </c>
      <c r="J26" s="329">
        <v>0.35</v>
      </c>
      <c r="K26" s="329">
        <v>0.01</v>
      </c>
      <c r="L26" s="329">
        <f>ROUND(G26*H26,4)</f>
        <v>6.28</v>
      </c>
      <c r="M26" s="329">
        <f>ROUND(G26*H26*I26,4)</f>
        <v>28.6368</v>
      </c>
      <c r="N26" s="329">
        <f>ROUND(G26*H26*I26*J26*K26,4)</f>
        <v>0.1002</v>
      </c>
      <c r="O26" s="329"/>
      <c r="P26" s="337"/>
      <c r="Q26" s="337"/>
      <c r="R26" s="337"/>
      <c r="S26" s="337"/>
      <c r="T26" s="337"/>
      <c r="U26" s="337"/>
      <c r="V26" s="337"/>
      <c r="W26" s="337"/>
      <c r="X26" s="339"/>
      <c r="Y26" s="339"/>
      <c r="Z26" s="339"/>
    </row>
    <row r="27" ht="16.5" customHeight="1" spans="1:26">
      <c r="A27" s="326"/>
      <c r="B27" s="327"/>
      <c r="C27" s="327"/>
      <c r="D27" s="330"/>
      <c r="E27" s="332" t="s">
        <v>76</v>
      </c>
      <c r="F27" s="330"/>
      <c r="G27" s="329">
        <v>1</v>
      </c>
      <c r="H27" s="329">
        <v>4.68</v>
      </c>
      <c r="I27" s="329">
        <v>4.56</v>
      </c>
      <c r="J27" s="329">
        <v>0.2</v>
      </c>
      <c r="K27" s="329">
        <v>0.01</v>
      </c>
      <c r="L27" s="329">
        <f>ROUND(G27*H27,4)</f>
        <v>4.68</v>
      </c>
      <c r="M27" s="329">
        <f>ROUND(G27*H27*I27,4)</f>
        <v>21.3408</v>
      </c>
      <c r="N27" s="329">
        <f>ROUND(G27*H27*I27*J27*K27,4)</f>
        <v>0.0427</v>
      </c>
      <c r="O27" s="329"/>
      <c r="P27" s="337"/>
      <c r="Q27" s="337"/>
      <c r="R27" s="337"/>
      <c r="S27" s="337"/>
      <c r="T27" s="337"/>
      <c r="U27" s="337"/>
      <c r="V27" s="337"/>
      <c r="W27" s="337"/>
      <c r="X27" s="339"/>
      <c r="Y27" s="339"/>
      <c r="Z27" s="339"/>
    </row>
    <row r="28" ht="16.5" customHeight="1" spans="1:26">
      <c r="A28" s="326"/>
      <c r="B28" s="327"/>
      <c r="C28" s="327"/>
      <c r="D28" s="330"/>
      <c r="E28" s="332" t="s">
        <v>69</v>
      </c>
      <c r="F28" s="330"/>
      <c r="G28" s="329">
        <v>-1</v>
      </c>
      <c r="H28" s="329">
        <v>1.14</v>
      </c>
      <c r="I28" s="329">
        <v>0.33</v>
      </c>
      <c r="J28" s="329">
        <v>0.15</v>
      </c>
      <c r="K28" s="329">
        <v>0.01</v>
      </c>
      <c r="L28" s="329">
        <f>ROUND(G28*H28,4)</f>
        <v>-1.14</v>
      </c>
      <c r="M28" s="329">
        <f>ROUND(G28*H28*I28,4)</f>
        <v>-0.3762</v>
      </c>
      <c r="N28" s="329">
        <f>ROUND(G28*H28*I28*J28*K28,4)</f>
        <v>-0.0006</v>
      </c>
      <c r="O28" s="329"/>
      <c r="P28" s="337"/>
      <c r="Q28" s="337"/>
      <c r="R28" s="337"/>
      <c r="S28" s="337"/>
      <c r="T28" s="337"/>
      <c r="U28" s="337"/>
      <c r="V28" s="337"/>
      <c r="W28" s="337"/>
      <c r="X28" s="339"/>
      <c r="Y28" s="339"/>
      <c r="Z28" s="339"/>
    </row>
    <row r="29" ht="16.5" customHeight="1" spans="1:26">
      <c r="A29" s="326"/>
      <c r="B29" s="327"/>
      <c r="C29" s="327"/>
      <c r="D29" s="330"/>
      <c r="E29" s="332"/>
      <c r="F29" s="330"/>
      <c r="G29" s="329">
        <v>-1</v>
      </c>
      <c r="H29" s="329">
        <v>1.14</v>
      </c>
      <c r="I29" s="329">
        <v>0.22</v>
      </c>
      <c r="J29" s="329">
        <v>0.2</v>
      </c>
      <c r="K29" s="329">
        <v>0.01</v>
      </c>
      <c r="L29" s="329">
        <f>ROUND(G29*H29,4)</f>
        <v>-1.14</v>
      </c>
      <c r="M29" s="329">
        <f>ROUND(G29*H29*I29,4)</f>
        <v>-0.2508</v>
      </c>
      <c r="N29" s="329">
        <f>ROUND(G29*H29*I29*J29*K29,4)</f>
        <v>-0.0005</v>
      </c>
      <c r="O29" s="329"/>
      <c r="P29" s="337"/>
      <c r="Q29" s="337"/>
      <c r="R29" s="337"/>
      <c r="S29" s="337"/>
      <c r="T29" s="337"/>
      <c r="U29" s="337"/>
      <c r="V29" s="337"/>
      <c r="W29" s="337"/>
      <c r="X29" s="339"/>
      <c r="Y29" s="339"/>
      <c r="Z29" s="339"/>
    </row>
    <row r="30" ht="26.25" customHeight="1" spans="1:37">
      <c r="A30" s="326">
        <v>5</v>
      </c>
      <c r="B30" s="327" t="s">
        <v>77</v>
      </c>
      <c r="C30" s="327"/>
      <c r="D30" s="330" t="s">
        <v>77</v>
      </c>
      <c r="E30" s="331" t="s">
        <v>78</v>
      </c>
      <c r="F30" s="330" t="s">
        <v>46</v>
      </c>
      <c r="G30" s="329"/>
      <c r="H30" s="329"/>
      <c r="I30" s="329"/>
      <c r="J30" s="329"/>
      <c r="K30" s="329"/>
      <c r="L30" s="329">
        <f>ROUND(SUM(L31:L32),4)</f>
        <v>1.228</v>
      </c>
      <c r="M30" s="329">
        <f>ROUND(SUM(M31:M32),4)</f>
        <v>1.228</v>
      </c>
      <c r="N30" s="329"/>
      <c r="O30" s="329">
        <f>ROUND(SUM(N30:N32),4)</f>
        <v>0.1688</v>
      </c>
      <c r="P30" s="337"/>
      <c r="Q30" s="337"/>
      <c r="R30" s="337"/>
      <c r="S30" s="337">
        <v>1461060</v>
      </c>
      <c r="T30" s="337">
        <f>ROUND(ROUND(O30,4)*P30,0)</f>
        <v>0</v>
      </c>
      <c r="U30" s="337">
        <f>ROUND(ROUND(O30,4)*Q30,0)</f>
        <v>0</v>
      </c>
      <c r="V30" s="337">
        <f>ROUND(ROUND(O30,4)*R30,0)</f>
        <v>0</v>
      </c>
      <c r="W30" s="337">
        <f>ROUND(ROUND(O30,4)*S30,0)</f>
        <v>246627</v>
      </c>
      <c r="X30" s="339"/>
      <c r="Y30" s="339"/>
      <c r="Z30" s="339"/>
      <c r="AA30" s="325" t="s">
        <v>47</v>
      </c>
      <c r="AB30" s="325" t="s">
        <v>48</v>
      </c>
      <c r="AE30" s="324" t="s">
        <v>79</v>
      </c>
      <c r="AK30" s="325" t="s">
        <v>51</v>
      </c>
    </row>
    <row r="31" ht="16.5" customHeight="1" spans="1:26">
      <c r="A31" s="326"/>
      <c r="B31" s="327"/>
      <c r="C31" s="327"/>
      <c r="D31" s="330"/>
      <c r="E31" s="332" t="s">
        <v>62</v>
      </c>
      <c r="F31" s="330"/>
      <c r="G31" s="329"/>
      <c r="H31" s="329">
        <f>H14</f>
        <v>0.69836</v>
      </c>
      <c r="I31" s="329"/>
      <c r="J31" s="329"/>
      <c r="K31" s="329">
        <v>1</v>
      </c>
      <c r="L31" s="329">
        <f>ROUND(H31,4)</f>
        <v>0.6984</v>
      </c>
      <c r="M31" s="329">
        <f>ROUND(H31,4)</f>
        <v>0.6984</v>
      </c>
      <c r="N31" s="329">
        <f>ROUND(H31*K31,4)</f>
        <v>0.6984</v>
      </c>
      <c r="O31" s="329"/>
      <c r="P31" s="337"/>
      <c r="Q31" s="337"/>
      <c r="R31" s="337"/>
      <c r="S31" s="337"/>
      <c r="T31" s="337"/>
      <c r="U31" s="337"/>
      <c r="V31" s="337"/>
      <c r="W31" s="337"/>
      <c r="X31" s="339"/>
      <c r="Y31" s="339"/>
      <c r="Z31" s="339"/>
    </row>
    <row r="32" ht="16.5" customHeight="1" spans="1:26">
      <c r="A32" s="326"/>
      <c r="B32" s="327"/>
      <c r="C32" s="327"/>
      <c r="D32" s="330"/>
      <c r="E32" s="332" t="s">
        <v>80</v>
      </c>
      <c r="F32" s="330"/>
      <c r="G32" s="329"/>
      <c r="H32" s="329">
        <f>O13</f>
        <v>0.5296</v>
      </c>
      <c r="I32" s="329"/>
      <c r="J32" s="329"/>
      <c r="K32" s="329">
        <v>-1</v>
      </c>
      <c r="L32" s="329">
        <f>ROUND(H32,4)</f>
        <v>0.5296</v>
      </c>
      <c r="M32" s="329">
        <f>ROUND(H32,4)</f>
        <v>0.5296</v>
      </c>
      <c r="N32" s="329">
        <f>ROUND(H32*K32,4)</f>
        <v>-0.5296</v>
      </c>
      <c r="O32" s="329"/>
      <c r="P32" s="337"/>
      <c r="Q32" s="337"/>
      <c r="R32" s="337"/>
      <c r="S32" s="337"/>
      <c r="T32" s="337"/>
      <c r="U32" s="337"/>
      <c r="V32" s="337"/>
      <c r="W32" s="337"/>
      <c r="X32" s="339"/>
      <c r="Y32" s="339"/>
      <c r="Z32" s="339"/>
    </row>
    <row r="33" ht="27" customHeight="1" spans="1:37">
      <c r="A33" s="326">
        <v>6</v>
      </c>
      <c r="B33" s="327" t="s">
        <v>81</v>
      </c>
      <c r="C33" s="327"/>
      <c r="D33" s="330" t="s">
        <v>81</v>
      </c>
      <c r="E33" s="331" t="s">
        <v>82</v>
      </c>
      <c r="F33" s="330" t="s">
        <v>46</v>
      </c>
      <c r="G33" s="329"/>
      <c r="H33" s="329"/>
      <c r="I33" s="329"/>
      <c r="J33" s="329"/>
      <c r="K33" s="329"/>
      <c r="L33" s="329"/>
      <c r="M33" s="329"/>
      <c r="N33" s="329"/>
      <c r="O33" s="329">
        <f>O30</f>
        <v>0.1688</v>
      </c>
      <c r="P33" s="337"/>
      <c r="Q33" s="337"/>
      <c r="R33" s="337"/>
      <c r="S33" s="340">
        <f>417446*Z33</f>
        <v>2922122</v>
      </c>
      <c r="T33" s="337">
        <f>ROUND(ROUND(O33,4)*P33,0)</f>
        <v>0</v>
      </c>
      <c r="U33" s="337">
        <f>ROUND(ROUND(O33,4)*Q33,0)</f>
        <v>0</v>
      </c>
      <c r="V33" s="337">
        <f>ROUND(ROUND(O33,4)*R33,0)</f>
        <v>0</v>
      </c>
      <c r="W33" s="337">
        <f>ROUND(ROUND(O33,4)*S33,0)</f>
        <v>493254</v>
      </c>
      <c r="X33" s="339"/>
      <c r="Y33" s="339"/>
      <c r="Z33" s="344">
        <v>7</v>
      </c>
      <c r="AA33" s="325" t="s">
        <v>47</v>
      </c>
      <c r="AB33" s="325" t="s">
        <v>48</v>
      </c>
      <c r="AE33" s="324" t="s">
        <v>83</v>
      </c>
      <c r="AK33" s="325" t="s">
        <v>51</v>
      </c>
    </row>
    <row r="34" ht="27" customHeight="1" spans="1:37">
      <c r="A34" s="334">
        <v>7</v>
      </c>
      <c r="B34" s="330" t="s">
        <v>84</v>
      </c>
      <c r="C34" s="330"/>
      <c r="D34" s="330" t="s">
        <v>84</v>
      </c>
      <c r="E34" s="327" t="s">
        <v>85</v>
      </c>
      <c r="F34" s="327" t="s">
        <v>46</v>
      </c>
      <c r="G34" s="335"/>
      <c r="H34" s="335"/>
      <c r="I34" s="335"/>
      <c r="J34" s="335"/>
      <c r="K34" s="335"/>
      <c r="L34" s="335"/>
      <c r="M34" s="335"/>
      <c r="N34" s="335"/>
      <c r="O34" s="335">
        <f>O33</f>
        <v>0.1688</v>
      </c>
      <c r="P34" s="338"/>
      <c r="Q34" s="338"/>
      <c r="R34" s="338"/>
      <c r="S34" s="341">
        <f>258057*Z34</f>
        <v>1806399</v>
      </c>
      <c r="T34" s="338">
        <f>ROUND(ROUND(O34,4)*P34,0)</f>
        <v>0</v>
      </c>
      <c r="U34" s="338">
        <f>ROUND(ROUND(O34,4)*Q34,0)</f>
        <v>0</v>
      </c>
      <c r="V34" s="338">
        <f>ROUND(ROUND(O34,4)*R34,0)</f>
        <v>0</v>
      </c>
      <c r="W34" s="338">
        <f>ROUND(ROUND(O34,4)*S34,0)</f>
        <v>304920</v>
      </c>
      <c r="X34" s="342"/>
      <c r="Y34" s="342"/>
      <c r="Z34" s="345">
        <v>7</v>
      </c>
      <c r="AA34" s="325" t="s">
        <v>47</v>
      </c>
      <c r="AB34" s="325" t="s">
        <v>48</v>
      </c>
      <c r="AE34" s="324" t="s">
        <v>86</v>
      </c>
      <c r="AK34" s="325" t="s">
        <v>51</v>
      </c>
    </row>
    <row r="35" ht="26.25" customHeight="1" spans="1:31">
      <c r="A35" s="326">
        <v>8</v>
      </c>
      <c r="B35" s="327" t="s">
        <v>87</v>
      </c>
      <c r="C35" s="327"/>
      <c r="D35" s="330" t="s">
        <v>87</v>
      </c>
      <c r="E35" s="331" t="s">
        <v>88</v>
      </c>
      <c r="F35" s="330" t="s">
        <v>89</v>
      </c>
      <c r="G35" s="329"/>
      <c r="H35" s="329"/>
      <c r="I35" s="329"/>
      <c r="J35" s="329"/>
      <c r="K35" s="329"/>
      <c r="L35" s="329">
        <f>ROUND(SUM(L36:L36),4)</f>
        <v>37.68</v>
      </c>
      <c r="M35" s="329">
        <f>ROUND(SUM(M36:M36),4)</f>
        <v>11.304</v>
      </c>
      <c r="N35" s="329"/>
      <c r="O35" s="329">
        <f>ROUND(SUM(N35:N36),4)</f>
        <v>11.304</v>
      </c>
      <c r="P35" s="337">
        <v>1081</v>
      </c>
      <c r="Q35" s="337"/>
      <c r="R35" s="337">
        <v>69280</v>
      </c>
      <c r="S35" s="337">
        <v>22976</v>
      </c>
      <c r="T35" s="337">
        <f>ROUND(ROUND(O35,4)*P35,0)</f>
        <v>12220</v>
      </c>
      <c r="U35" s="337">
        <f>ROUND(ROUND(O35,4)*Q35,0)</f>
        <v>0</v>
      </c>
      <c r="V35" s="337">
        <f>ROUND(ROUND(O35,4)*R35,0)</f>
        <v>783141</v>
      </c>
      <c r="W35" s="337">
        <f>ROUND(ROUND(O35,4)*S35,0)</f>
        <v>259721</v>
      </c>
      <c r="X35" s="339"/>
      <c r="Y35" s="339"/>
      <c r="Z35" s="339"/>
      <c r="AC35" s="324" t="s">
        <v>90</v>
      </c>
      <c r="AD35" s="324" t="s">
        <v>91</v>
      </c>
      <c r="AE35" s="324" t="s">
        <v>92</v>
      </c>
    </row>
    <row r="36" ht="16.5" customHeight="1" spans="1:26">
      <c r="A36" s="326"/>
      <c r="B36" s="327"/>
      <c r="C36" s="327"/>
      <c r="D36" s="330"/>
      <c r="E36" s="332"/>
      <c r="F36" s="330"/>
      <c r="G36" s="329">
        <v>12</v>
      </c>
      <c r="H36" s="329">
        <f>3.14</f>
        <v>3.14</v>
      </c>
      <c r="I36" s="329">
        <v>0.3</v>
      </c>
      <c r="J36" s="329"/>
      <c r="K36" s="329"/>
      <c r="L36" s="329">
        <f>ROUND(G36*H36,4)</f>
        <v>37.68</v>
      </c>
      <c r="M36" s="329">
        <f>ROUND(G36*H36*I36,4)</f>
        <v>11.304</v>
      </c>
      <c r="N36" s="329">
        <f>ROUND(G36*H36*I36,4)</f>
        <v>11.304</v>
      </c>
      <c r="O36" s="329"/>
      <c r="P36" s="337"/>
      <c r="Q36" s="337"/>
      <c r="R36" s="337"/>
      <c r="S36" s="337"/>
      <c r="T36" s="337"/>
      <c r="U36" s="337"/>
      <c r="V36" s="337"/>
      <c r="W36" s="337"/>
      <c r="X36" s="339"/>
      <c r="Y36" s="339"/>
      <c r="Z36" s="339"/>
    </row>
    <row r="37" ht="37.5" customHeight="1" spans="1:37">
      <c r="A37" s="326">
        <v>9</v>
      </c>
      <c r="B37" s="327" t="s">
        <v>93</v>
      </c>
      <c r="C37" s="327" t="s">
        <v>94</v>
      </c>
      <c r="D37" s="330" t="s">
        <v>93</v>
      </c>
      <c r="E37" s="331" t="s">
        <v>95</v>
      </c>
      <c r="F37" s="330" t="s">
        <v>55</v>
      </c>
      <c r="G37" s="329"/>
      <c r="H37" s="329"/>
      <c r="I37" s="329"/>
      <c r="J37" s="329"/>
      <c r="K37" s="329"/>
      <c r="L37" s="329">
        <f>ROUND(SUM(L38:L46),4)</f>
        <v>1.34</v>
      </c>
      <c r="M37" s="329">
        <f>ROUND(SUM(M38:M46),4)</f>
        <v>23.6058</v>
      </c>
      <c r="N37" s="329"/>
      <c r="O37" s="329">
        <f>ROUND(SUM(N37:N46),4)</f>
        <v>2.3606</v>
      </c>
      <c r="P37" s="337">
        <v>485249</v>
      </c>
      <c r="Q37" s="337"/>
      <c r="R37" s="337">
        <v>282755</v>
      </c>
      <c r="S37" s="337">
        <v>45790</v>
      </c>
      <c r="T37" s="337">
        <f>ROUND(ROUND(O37,4)*P37,0)</f>
        <v>1145479</v>
      </c>
      <c r="U37" s="337">
        <f>ROUND(ROUND(O37,4)*Q37,0)</f>
        <v>0</v>
      </c>
      <c r="V37" s="337">
        <f>ROUND(ROUND(O37,4)*R37,0)</f>
        <v>667471</v>
      </c>
      <c r="W37" s="337">
        <f>ROUND(ROUND(O37,4)*S37,0)</f>
        <v>108092</v>
      </c>
      <c r="X37" s="339"/>
      <c r="Y37" s="339"/>
      <c r="Z37" s="339"/>
      <c r="AA37" s="325" t="s">
        <v>47</v>
      </c>
      <c r="AB37" s="325" t="s">
        <v>48</v>
      </c>
      <c r="AC37" s="324" t="s">
        <v>96</v>
      </c>
      <c r="AD37" s="324" t="s">
        <v>97</v>
      </c>
      <c r="AE37" s="324" t="s">
        <v>98</v>
      </c>
      <c r="AK37" s="325" t="s">
        <v>51</v>
      </c>
    </row>
    <row r="38" ht="16.5" customHeight="1" spans="1:26">
      <c r="A38" s="326"/>
      <c r="B38" s="327"/>
      <c r="C38" s="327"/>
      <c r="D38" s="330"/>
      <c r="E38" s="332" t="s">
        <v>99</v>
      </c>
      <c r="F38" s="330"/>
      <c r="G38" s="329">
        <v>2</v>
      </c>
      <c r="H38" s="329">
        <v>0.9</v>
      </c>
      <c r="I38" s="329">
        <v>0.9</v>
      </c>
      <c r="J38" s="329">
        <v>0.1</v>
      </c>
      <c r="K38" s="329"/>
      <c r="L38" s="329">
        <f t="shared" ref="L38:L46" si="1">ROUND(G38*H38,4)</f>
        <v>1.8</v>
      </c>
      <c r="M38" s="329">
        <f t="shared" ref="M38:M46" si="2">ROUND(G38*H38*I38,4)</f>
        <v>1.62</v>
      </c>
      <c r="N38" s="329">
        <f t="shared" ref="N38:N46" si="3">ROUND(G38*H38*I38*J38,4)</f>
        <v>0.162</v>
      </c>
      <c r="O38" s="329"/>
      <c r="P38" s="337"/>
      <c r="Q38" s="337"/>
      <c r="R38" s="337"/>
      <c r="S38" s="337"/>
      <c r="T38" s="337"/>
      <c r="U38" s="337"/>
      <c r="V38" s="337"/>
      <c r="W38" s="337"/>
      <c r="X38" s="339"/>
      <c r="Y38" s="339"/>
      <c r="Z38" s="339"/>
    </row>
    <row r="39" ht="16.5" customHeight="1" spans="1:26">
      <c r="A39" s="326"/>
      <c r="B39" s="327"/>
      <c r="C39" s="327"/>
      <c r="D39" s="330"/>
      <c r="E39" s="332" t="s">
        <v>100</v>
      </c>
      <c r="F39" s="330"/>
      <c r="G39" s="329">
        <v>2</v>
      </c>
      <c r="H39" s="329">
        <v>3.38</v>
      </c>
      <c r="I39" s="329">
        <v>0.9</v>
      </c>
      <c r="J39" s="329">
        <v>0.1</v>
      </c>
      <c r="K39" s="329"/>
      <c r="L39" s="329">
        <f t="shared" si="1"/>
        <v>6.76</v>
      </c>
      <c r="M39" s="329">
        <f t="shared" si="2"/>
        <v>6.084</v>
      </c>
      <c r="N39" s="329">
        <f t="shared" si="3"/>
        <v>0.6084</v>
      </c>
      <c r="O39" s="329"/>
      <c r="P39" s="337"/>
      <c r="Q39" s="337"/>
      <c r="R39" s="337"/>
      <c r="S39" s="337"/>
      <c r="T39" s="337"/>
      <c r="U39" s="337"/>
      <c r="V39" s="337"/>
      <c r="W39" s="337"/>
      <c r="X39" s="339"/>
      <c r="Y39" s="339"/>
      <c r="Z39" s="339"/>
    </row>
    <row r="40" ht="16.5" customHeight="1" spans="1:26">
      <c r="A40" s="326"/>
      <c r="B40" s="327"/>
      <c r="C40" s="327"/>
      <c r="D40" s="330"/>
      <c r="E40" s="332" t="s">
        <v>101</v>
      </c>
      <c r="F40" s="330"/>
      <c r="G40" s="329">
        <v>2</v>
      </c>
      <c r="H40" s="329">
        <v>1.7</v>
      </c>
      <c r="I40" s="329">
        <v>0.9</v>
      </c>
      <c r="J40" s="329">
        <v>0.1</v>
      </c>
      <c r="K40" s="329"/>
      <c r="L40" s="329">
        <f t="shared" si="1"/>
        <v>3.4</v>
      </c>
      <c r="M40" s="329">
        <f t="shared" si="2"/>
        <v>3.06</v>
      </c>
      <c r="N40" s="329">
        <f t="shared" si="3"/>
        <v>0.306</v>
      </c>
      <c r="O40" s="329"/>
      <c r="P40" s="337"/>
      <c r="Q40" s="337"/>
      <c r="R40" s="337"/>
      <c r="S40" s="337"/>
      <c r="T40" s="337"/>
      <c r="U40" s="337"/>
      <c r="V40" s="337"/>
      <c r="W40" s="337"/>
      <c r="X40" s="339"/>
      <c r="Y40" s="339"/>
      <c r="Z40" s="339"/>
    </row>
    <row r="41" ht="16.5" customHeight="1" spans="1:26">
      <c r="A41" s="326"/>
      <c r="B41" s="327"/>
      <c r="C41" s="327"/>
      <c r="D41" s="330"/>
      <c r="E41" s="332" t="s">
        <v>102</v>
      </c>
      <c r="F41" s="330"/>
      <c r="G41" s="329">
        <v>2</v>
      </c>
      <c r="H41" s="329">
        <f>3.1+3.86</f>
        <v>6.96</v>
      </c>
      <c r="I41" s="329">
        <v>0.5</v>
      </c>
      <c r="J41" s="329">
        <v>0.1</v>
      </c>
      <c r="K41" s="329"/>
      <c r="L41" s="329">
        <f t="shared" si="1"/>
        <v>13.92</v>
      </c>
      <c r="M41" s="329">
        <f t="shared" si="2"/>
        <v>6.96</v>
      </c>
      <c r="N41" s="329">
        <f t="shared" si="3"/>
        <v>0.696</v>
      </c>
      <c r="O41" s="329"/>
      <c r="P41" s="337"/>
      <c r="Q41" s="337"/>
      <c r="R41" s="337"/>
      <c r="S41" s="337"/>
      <c r="T41" s="337"/>
      <c r="U41" s="337"/>
      <c r="V41" s="337"/>
      <c r="W41" s="337"/>
      <c r="X41" s="339"/>
      <c r="Y41" s="339"/>
      <c r="Z41" s="339"/>
    </row>
    <row r="42" ht="16.5" customHeight="1" spans="1:26">
      <c r="A42" s="326"/>
      <c r="B42" s="327"/>
      <c r="C42" s="327"/>
      <c r="D42" s="330"/>
      <c r="E42" s="332" t="s">
        <v>103</v>
      </c>
      <c r="F42" s="330"/>
      <c r="G42" s="329">
        <v>1</v>
      </c>
      <c r="H42" s="329">
        <v>3.4</v>
      </c>
      <c r="I42" s="329">
        <v>0.5</v>
      </c>
      <c r="J42" s="329">
        <v>0.1</v>
      </c>
      <c r="K42" s="329"/>
      <c r="L42" s="329">
        <f t="shared" si="1"/>
        <v>3.4</v>
      </c>
      <c r="M42" s="329">
        <f t="shared" si="2"/>
        <v>1.7</v>
      </c>
      <c r="N42" s="329">
        <f t="shared" si="3"/>
        <v>0.17</v>
      </c>
      <c r="O42" s="329"/>
      <c r="P42" s="337"/>
      <c r="Q42" s="337"/>
      <c r="R42" s="337"/>
      <c r="S42" s="337"/>
      <c r="T42" s="337"/>
      <c r="U42" s="337"/>
      <c r="V42" s="337"/>
      <c r="W42" s="337"/>
      <c r="X42" s="339"/>
      <c r="Y42" s="339"/>
      <c r="Z42" s="339"/>
    </row>
    <row r="43" ht="16.5" customHeight="1" spans="1:26">
      <c r="A43" s="326"/>
      <c r="B43" s="327"/>
      <c r="C43" s="327"/>
      <c r="D43" s="330"/>
      <c r="E43" s="332"/>
      <c r="F43" s="330"/>
      <c r="G43" s="329">
        <v>1</v>
      </c>
      <c r="H43" s="329">
        <v>1.8</v>
      </c>
      <c r="I43" s="329">
        <v>0.5</v>
      </c>
      <c r="J43" s="329">
        <v>0.1</v>
      </c>
      <c r="K43" s="329"/>
      <c r="L43" s="329">
        <f t="shared" si="1"/>
        <v>1.8</v>
      </c>
      <c r="M43" s="329">
        <f t="shared" si="2"/>
        <v>0.9</v>
      </c>
      <c r="N43" s="329">
        <f t="shared" si="3"/>
        <v>0.09</v>
      </c>
      <c r="O43" s="329"/>
      <c r="P43" s="337"/>
      <c r="Q43" s="337"/>
      <c r="R43" s="337"/>
      <c r="S43" s="337"/>
      <c r="T43" s="337"/>
      <c r="U43" s="337"/>
      <c r="V43" s="337"/>
      <c r="W43" s="337"/>
      <c r="X43" s="339"/>
      <c r="Y43" s="339"/>
      <c r="Z43" s="339"/>
    </row>
    <row r="44" ht="16.5" customHeight="1" spans="1:26">
      <c r="A44" s="326"/>
      <c r="B44" s="327"/>
      <c r="C44" s="327"/>
      <c r="D44" s="330"/>
      <c r="E44" s="332" t="s">
        <v>104</v>
      </c>
      <c r="F44" s="330"/>
      <c r="G44" s="329">
        <v>2</v>
      </c>
      <c r="H44" s="329">
        <v>3.4</v>
      </c>
      <c r="I44" s="329">
        <v>0.5</v>
      </c>
      <c r="J44" s="329">
        <v>0.1</v>
      </c>
      <c r="K44" s="329"/>
      <c r="L44" s="329">
        <f t="shared" si="1"/>
        <v>6.8</v>
      </c>
      <c r="M44" s="329">
        <f t="shared" si="2"/>
        <v>3.4</v>
      </c>
      <c r="N44" s="329">
        <f t="shared" si="3"/>
        <v>0.34</v>
      </c>
      <c r="O44" s="329"/>
      <c r="P44" s="337"/>
      <c r="Q44" s="337"/>
      <c r="R44" s="337"/>
      <c r="S44" s="337"/>
      <c r="T44" s="337"/>
      <c r="U44" s="337"/>
      <c r="V44" s="337"/>
      <c r="W44" s="337"/>
      <c r="X44" s="339"/>
      <c r="Y44" s="339"/>
      <c r="Z44" s="339"/>
    </row>
    <row r="45" ht="16.5" customHeight="1" spans="1:26">
      <c r="A45" s="326"/>
      <c r="B45" s="327"/>
      <c r="C45" s="327"/>
      <c r="D45" s="330"/>
      <c r="E45" s="332" t="s">
        <v>69</v>
      </c>
      <c r="F45" s="330"/>
      <c r="G45" s="329">
        <v>1</v>
      </c>
      <c r="H45" s="329">
        <v>1.14</v>
      </c>
      <c r="I45" s="329">
        <v>0.64</v>
      </c>
      <c r="J45" s="329">
        <v>0.1</v>
      </c>
      <c r="K45" s="329"/>
      <c r="L45" s="329">
        <f t="shared" si="1"/>
        <v>1.14</v>
      </c>
      <c r="M45" s="329">
        <f t="shared" si="2"/>
        <v>0.7296</v>
      </c>
      <c r="N45" s="329">
        <f t="shared" si="3"/>
        <v>0.073</v>
      </c>
      <c r="O45" s="329"/>
      <c r="P45" s="337"/>
      <c r="Q45" s="337"/>
      <c r="R45" s="337"/>
      <c r="S45" s="337"/>
      <c r="T45" s="337"/>
      <c r="U45" s="337"/>
      <c r="V45" s="337"/>
      <c r="W45" s="337"/>
      <c r="X45" s="339"/>
      <c r="Y45" s="339"/>
      <c r="Z45" s="339"/>
    </row>
    <row r="46" ht="16.5" customHeight="1" spans="1:26">
      <c r="A46" s="326"/>
      <c r="B46" s="327"/>
      <c r="C46" s="327"/>
      <c r="D46" s="330"/>
      <c r="E46" s="332" t="s">
        <v>64</v>
      </c>
      <c r="F46" s="330"/>
      <c r="G46" s="329">
        <v>-12</v>
      </c>
      <c r="H46" s="329">
        <f>3.14</f>
        <v>3.14</v>
      </c>
      <c r="I46" s="329">
        <f>0.15^2</f>
        <v>0.0225</v>
      </c>
      <c r="J46" s="329">
        <v>0.1</v>
      </c>
      <c r="K46" s="329"/>
      <c r="L46" s="329">
        <f t="shared" si="1"/>
        <v>-37.68</v>
      </c>
      <c r="M46" s="329">
        <f t="shared" si="2"/>
        <v>-0.8478</v>
      </c>
      <c r="N46" s="329">
        <f t="shared" si="3"/>
        <v>-0.0848</v>
      </c>
      <c r="O46" s="329"/>
      <c r="P46" s="337"/>
      <c r="Q46" s="337"/>
      <c r="R46" s="337"/>
      <c r="S46" s="337"/>
      <c r="T46" s="337"/>
      <c r="U46" s="337"/>
      <c r="V46" s="337"/>
      <c r="W46" s="337"/>
      <c r="X46" s="339"/>
      <c r="Y46" s="339"/>
      <c r="Z46" s="339"/>
    </row>
    <row r="47" ht="26.25" customHeight="1" spans="1:37">
      <c r="A47" s="326">
        <v>10</v>
      </c>
      <c r="B47" s="327" t="s">
        <v>105</v>
      </c>
      <c r="C47" s="327"/>
      <c r="D47" s="330" t="s">
        <v>105</v>
      </c>
      <c r="E47" s="331" t="s">
        <v>106</v>
      </c>
      <c r="F47" s="330" t="s">
        <v>107</v>
      </c>
      <c r="G47" s="329"/>
      <c r="H47" s="329"/>
      <c r="I47" s="329"/>
      <c r="J47" s="329"/>
      <c r="K47" s="329"/>
      <c r="L47" s="329">
        <f>ROUND(SUM(L48:L55),4)</f>
        <v>33.12</v>
      </c>
      <c r="M47" s="329">
        <f>ROUND(SUM(M48:M55),4)</f>
        <v>66.24</v>
      </c>
      <c r="N47" s="329"/>
      <c r="O47" s="329">
        <f>ROUND(SUM(N47:N55),4)</f>
        <v>0.2869</v>
      </c>
      <c r="P47" s="337">
        <v>2932030</v>
      </c>
      <c r="Q47" s="337"/>
      <c r="R47" s="337">
        <v>2946878</v>
      </c>
      <c r="S47" s="337"/>
      <c r="T47" s="337">
        <f>ROUND(ROUND(O47,4)*P47,0)</f>
        <v>841199</v>
      </c>
      <c r="U47" s="337">
        <f>ROUND(ROUND(O47,4)*Q47,0)</f>
        <v>0</v>
      </c>
      <c r="V47" s="337">
        <f>ROUND(ROUND(O47,4)*R47,0)</f>
        <v>845459</v>
      </c>
      <c r="W47" s="337">
        <f>ROUND(ROUND(O47,4)*S47,0)</f>
        <v>0</v>
      </c>
      <c r="X47" s="339"/>
      <c r="Y47" s="339"/>
      <c r="Z47" s="339"/>
      <c r="AA47" s="325" t="s">
        <v>47</v>
      </c>
      <c r="AB47" s="325" t="s">
        <v>48</v>
      </c>
      <c r="AC47" s="324" t="s">
        <v>108</v>
      </c>
      <c r="AD47" s="324" t="s">
        <v>109</v>
      </c>
      <c r="AK47" s="325" t="s">
        <v>51</v>
      </c>
    </row>
    <row r="48" ht="16.5" customHeight="1" spans="1:26">
      <c r="A48" s="326"/>
      <c r="B48" s="327"/>
      <c r="C48" s="327"/>
      <c r="D48" s="330"/>
      <c r="E48" s="333" t="s">
        <v>110</v>
      </c>
      <c r="F48" s="330"/>
      <c r="G48" s="329"/>
      <c r="H48" s="329"/>
      <c r="I48" s="329"/>
      <c r="J48" s="329"/>
      <c r="K48" s="329"/>
      <c r="L48" s="329"/>
      <c r="M48" s="329"/>
      <c r="N48" s="329"/>
      <c r="O48" s="329"/>
      <c r="P48" s="337"/>
      <c r="Q48" s="337"/>
      <c r="R48" s="337"/>
      <c r="S48" s="337"/>
      <c r="T48" s="337"/>
      <c r="U48" s="337"/>
      <c r="V48" s="337"/>
      <c r="W48" s="337"/>
      <c r="X48" s="339"/>
      <c r="Y48" s="339"/>
      <c r="Z48" s="339"/>
    </row>
    <row r="49" ht="16.5" customHeight="1" spans="1:26">
      <c r="A49" s="326"/>
      <c r="B49" s="327"/>
      <c r="C49" s="327"/>
      <c r="D49" s="330"/>
      <c r="E49" s="332" t="s">
        <v>99</v>
      </c>
      <c r="F49" s="330"/>
      <c r="G49" s="329">
        <v>2</v>
      </c>
      <c r="H49" s="329">
        <v>1.8</v>
      </c>
      <c r="I49" s="329">
        <v>2</v>
      </c>
      <c r="J49" s="329">
        <v>0.1</v>
      </c>
      <c r="K49" s="329">
        <v>0.01</v>
      </c>
      <c r="L49" s="329">
        <f>ROUND(G49*H49,4)</f>
        <v>3.6</v>
      </c>
      <c r="M49" s="329">
        <f>ROUND(G49*H49*I49,4)</f>
        <v>7.2</v>
      </c>
      <c r="N49" s="329">
        <f>ROUND(G49*H49*I49*J49*K49,4)</f>
        <v>0.0072</v>
      </c>
      <c r="O49" s="329"/>
      <c r="P49" s="337"/>
      <c r="Q49" s="337"/>
      <c r="R49" s="337"/>
      <c r="S49" s="337"/>
      <c r="T49" s="337"/>
      <c r="U49" s="337"/>
      <c r="V49" s="337"/>
      <c r="W49" s="337"/>
      <c r="X49" s="339"/>
      <c r="Y49" s="339"/>
      <c r="Z49" s="339"/>
    </row>
    <row r="50" ht="16.5" customHeight="1" spans="1:26">
      <c r="A50" s="326"/>
      <c r="B50" s="327"/>
      <c r="C50" s="327"/>
      <c r="D50" s="330"/>
      <c r="E50" s="332" t="s">
        <v>100</v>
      </c>
      <c r="F50" s="330"/>
      <c r="G50" s="329">
        <v>2</v>
      </c>
      <c r="H50" s="329">
        <v>4.28</v>
      </c>
      <c r="I50" s="329">
        <v>2</v>
      </c>
      <c r="J50" s="329">
        <v>0.1</v>
      </c>
      <c r="K50" s="329">
        <v>0.01</v>
      </c>
      <c r="L50" s="329">
        <f>ROUND(G50*H50,4)</f>
        <v>8.56</v>
      </c>
      <c r="M50" s="329">
        <f>ROUND(G50*H50*I50,4)</f>
        <v>17.12</v>
      </c>
      <c r="N50" s="329">
        <f>ROUND(G50*H50*I50*J50*K50,4)</f>
        <v>0.0171</v>
      </c>
      <c r="O50" s="329"/>
      <c r="P50" s="337"/>
      <c r="Q50" s="337"/>
      <c r="R50" s="337"/>
      <c r="S50" s="337"/>
      <c r="T50" s="337"/>
      <c r="U50" s="337"/>
      <c r="V50" s="337"/>
      <c r="W50" s="337"/>
      <c r="X50" s="339"/>
      <c r="Y50" s="339"/>
      <c r="Z50" s="339"/>
    </row>
    <row r="51" ht="16.5" customHeight="1" spans="1:26">
      <c r="A51" s="326"/>
      <c r="B51" s="327"/>
      <c r="C51" s="327"/>
      <c r="D51" s="330"/>
      <c r="E51" s="332" t="s">
        <v>101</v>
      </c>
      <c r="F51" s="330"/>
      <c r="G51" s="329">
        <v>2</v>
      </c>
      <c r="H51" s="329">
        <v>2.6</v>
      </c>
      <c r="I51" s="329">
        <v>2</v>
      </c>
      <c r="J51" s="329">
        <v>0.1</v>
      </c>
      <c r="K51" s="329">
        <v>0.01</v>
      </c>
      <c r="L51" s="329">
        <f>ROUND(G51*H51,4)</f>
        <v>5.2</v>
      </c>
      <c r="M51" s="329">
        <f>ROUND(G51*H51*I51,4)</f>
        <v>10.4</v>
      </c>
      <c r="N51" s="329">
        <f>ROUND(G51*H51*I51*J51*K51,4)</f>
        <v>0.0104</v>
      </c>
      <c r="O51" s="329"/>
      <c r="P51" s="337"/>
      <c r="Q51" s="337"/>
      <c r="R51" s="337"/>
      <c r="S51" s="337"/>
      <c r="T51" s="337"/>
      <c r="U51" s="337"/>
      <c r="V51" s="337"/>
      <c r="W51" s="337"/>
      <c r="X51" s="339"/>
      <c r="Y51" s="339"/>
      <c r="Z51" s="339"/>
    </row>
    <row r="52" ht="16.5" customHeight="1" spans="1:26">
      <c r="A52" s="326"/>
      <c r="B52" s="327"/>
      <c r="C52" s="327"/>
      <c r="D52" s="330"/>
      <c r="E52" s="333" t="s">
        <v>111</v>
      </c>
      <c r="F52" s="330"/>
      <c r="G52" s="329"/>
      <c r="H52" s="329"/>
      <c r="I52" s="329"/>
      <c r="J52" s="329"/>
      <c r="K52" s="329"/>
      <c r="L52" s="329"/>
      <c r="M52" s="329"/>
      <c r="N52" s="329"/>
      <c r="O52" s="329"/>
      <c r="P52" s="337"/>
      <c r="Q52" s="337"/>
      <c r="R52" s="337"/>
      <c r="S52" s="337"/>
      <c r="T52" s="337"/>
      <c r="U52" s="337"/>
      <c r="V52" s="337"/>
      <c r="W52" s="337"/>
      <c r="X52" s="339"/>
      <c r="Y52" s="339"/>
      <c r="Z52" s="339"/>
    </row>
    <row r="53" ht="16.5" customHeight="1" spans="1:26">
      <c r="A53" s="326"/>
      <c r="B53" s="327"/>
      <c r="C53" s="327"/>
      <c r="D53" s="330"/>
      <c r="E53" s="332" t="s">
        <v>99</v>
      </c>
      <c r="F53" s="330"/>
      <c r="G53" s="329">
        <v>2</v>
      </c>
      <c r="H53" s="329">
        <v>1.5</v>
      </c>
      <c r="I53" s="329">
        <v>2</v>
      </c>
      <c r="J53" s="329">
        <v>0.8</v>
      </c>
      <c r="K53" s="329">
        <v>0.01</v>
      </c>
      <c r="L53" s="329">
        <f>ROUND(G53*H53,4)</f>
        <v>3</v>
      </c>
      <c r="M53" s="329">
        <f>ROUND(G53*H53*I53,4)</f>
        <v>6</v>
      </c>
      <c r="N53" s="329">
        <f>ROUND(G53*H53*I53*J53*K53,4)</f>
        <v>0.048</v>
      </c>
      <c r="O53" s="329"/>
      <c r="P53" s="337"/>
      <c r="Q53" s="337"/>
      <c r="R53" s="337"/>
      <c r="S53" s="337"/>
      <c r="T53" s="337"/>
      <c r="U53" s="337"/>
      <c r="V53" s="337"/>
      <c r="W53" s="337"/>
      <c r="X53" s="339"/>
      <c r="Y53" s="339"/>
      <c r="Z53" s="339"/>
    </row>
    <row r="54" ht="16.5" customHeight="1" spans="1:26">
      <c r="A54" s="326"/>
      <c r="B54" s="327"/>
      <c r="C54" s="327"/>
      <c r="D54" s="330"/>
      <c r="E54" s="332" t="s">
        <v>100</v>
      </c>
      <c r="F54" s="330"/>
      <c r="G54" s="329">
        <v>2</v>
      </c>
      <c r="H54" s="329">
        <v>3.98</v>
      </c>
      <c r="I54" s="329">
        <v>2</v>
      </c>
      <c r="J54" s="329">
        <v>0.8</v>
      </c>
      <c r="K54" s="329">
        <v>0.01</v>
      </c>
      <c r="L54" s="329">
        <f>ROUND(G54*H54,4)</f>
        <v>7.96</v>
      </c>
      <c r="M54" s="329">
        <f>ROUND(G54*H54*I54,4)</f>
        <v>15.92</v>
      </c>
      <c r="N54" s="329">
        <f>ROUND(G54*H54*I54*J54*K54,4)</f>
        <v>0.1274</v>
      </c>
      <c r="O54" s="329"/>
      <c r="P54" s="337"/>
      <c r="Q54" s="337"/>
      <c r="R54" s="337"/>
      <c r="S54" s="337"/>
      <c r="T54" s="337"/>
      <c r="U54" s="337"/>
      <c r="V54" s="337"/>
      <c r="W54" s="337"/>
      <c r="X54" s="339"/>
      <c r="Y54" s="339"/>
      <c r="Z54" s="339"/>
    </row>
    <row r="55" ht="16.5" customHeight="1" spans="1:26">
      <c r="A55" s="326"/>
      <c r="B55" s="327"/>
      <c r="C55" s="327"/>
      <c r="D55" s="330"/>
      <c r="E55" s="332" t="s">
        <v>101</v>
      </c>
      <c r="F55" s="330"/>
      <c r="G55" s="329">
        <v>2</v>
      </c>
      <c r="H55" s="329">
        <v>2.4</v>
      </c>
      <c r="I55" s="329">
        <v>2</v>
      </c>
      <c r="J55" s="329">
        <v>0.8</v>
      </c>
      <c r="K55" s="329">
        <v>0.01</v>
      </c>
      <c r="L55" s="329">
        <f>ROUND(G55*H55,4)</f>
        <v>4.8</v>
      </c>
      <c r="M55" s="329">
        <f>ROUND(G55*H55*I55,4)</f>
        <v>9.6</v>
      </c>
      <c r="N55" s="329">
        <f>ROUND(G55*H55*I55*J55*K55,4)</f>
        <v>0.0768</v>
      </c>
      <c r="O55" s="329"/>
      <c r="P55" s="337"/>
      <c r="Q55" s="337"/>
      <c r="R55" s="337"/>
      <c r="S55" s="337"/>
      <c r="T55" s="337"/>
      <c r="U55" s="337"/>
      <c r="V55" s="337"/>
      <c r="W55" s="337"/>
      <c r="X55" s="339"/>
      <c r="Y55" s="339"/>
      <c r="Z55" s="339"/>
    </row>
    <row r="56" ht="37.5" customHeight="1" spans="1:37">
      <c r="A56" s="326">
        <v>11</v>
      </c>
      <c r="B56" s="327" t="s">
        <v>112</v>
      </c>
      <c r="C56" s="327"/>
      <c r="D56" s="330" t="s">
        <v>112</v>
      </c>
      <c r="E56" s="331" t="s">
        <v>113</v>
      </c>
      <c r="F56" s="330" t="s">
        <v>114</v>
      </c>
      <c r="G56" s="329"/>
      <c r="H56" s="329"/>
      <c r="I56" s="329"/>
      <c r="J56" s="329"/>
      <c r="K56" s="329"/>
      <c r="L56" s="329"/>
      <c r="M56" s="329"/>
      <c r="N56" s="329"/>
      <c r="O56" s="329">
        <f>ROUND(SUM(N56:N60),4)</f>
        <v>0.3328</v>
      </c>
      <c r="P56" s="337">
        <v>16497030</v>
      </c>
      <c r="Q56" s="337"/>
      <c r="R56" s="337">
        <v>2451040</v>
      </c>
      <c r="S56" s="337">
        <v>94725</v>
      </c>
      <c r="T56" s="337">
        <f>ROUND(ROUND(O56,4)*P56,0)</f>
        <v>5490212</v>
      </c>
      <c r="U56" s="337">
        <f>ROUND(ROUND(O56,4)*Q56,0)</f>
        <v>0</v>
      </c>
      <c r="V56" s="337">
        <f>ROUND(ROUND(O56,4)*R56,0)</f>
        <v>815706</v>
      </c>
      <c r="W56" s="337">
        <f>ROUND(ROUND(O56,4)*S56,0)</f>
        <v>31524</v>
      </c>
      <c r="X56" s="339"/>
      <c r="Y56" s="339"/>
      <c r="Z56" s="339"/>
      <c r="AA56" s="325" t="s">
        <v>47</v>
      </c>
      <c r="AB56" s="325" t="s">
        <v>48</v>
      </c>
      <c r="AC56" s="324" t="s">
        <v>115</v>
      </c>
      <c r="AD56" s="324" t="s">
        <v>116</v>
      </c>
      <c r="AE56" s="324" t="s">
        <v>117</v>
      </c>
      <c r="AK56" s="325" t="s">
        <v>51</v>
      </c>
    </row>
    <row r="57" ht="26.25" customHeight="1" spans="1:26">
      <c r="A57" s="326"/>
      <c r="B57" s="327"/>
      <c r="C57" s="327"/>
      <c r="D57" s="330"/>
      <c r="E57" s="332" t="s">
        <v>118</v>
      </c>
      <c r="F57" s="330"/>
      <c r="G57" s="329"/>
      <c r="H57" s="329"/>
      <c r="I57" s="329"/>
      <c r="J57" s="329"/>
      <c r="K57" s="329"/>
      <c r="L57" s="329"/>
      <c r="M57" s="329"/>
      <c r="N57" s="329">
        <v>0.0552</v>
      </c>
      <c r="O57" s="329"/>
      <c r="P57" s="337"/>
      <c r="Q57" s="337"/>
      <c r="R57" s="337"/>
      <c r="S57" s="337"/>
      <c r="T57" s="337"/>
      <c r="U57" s="337"/>
      <c r="V57" s="337"/>
      <c r="W57" s="337"/>
      <c r="X57" s="339"/>
      <c r="Y57" s="339"/>
      <c r="Z57" s="339"/>
    </row>
    <row r="58" ht="26.25" customHeight="1" spans="1:26">
      <c r="A58" s="326"/>
      <c r="B58" s="327"/>
      <c r="C58" s="327"/>
      <c r="D58" s="330"/>
      <c r="E58" s="332" t="s">
        <v>119</v>
      </c>
      <c r="F58" s="330"/>
      <c r="G58" s="329"/>
      <c r="H58" s="329"/>
      <c r="I58" s="329"/>
      <c r="J58" s="329"/>
      <c r="K58" s="329"/>
      <c r="L58" s="329"/>
      <c r="M58" s="329"/>
      <c r="N58" s="329">
        <v>0.1642</v>
      </c>
      <c r="O58" s="329"/>
      <c r="P58" s="337"/>
      <c r="Q58" s="337"/>
      <c r="R58" s="337"/>
      <c r="S58" s="337"/>
      <c r="T58" s="337"/>
      <c r="U58" s="337"/>
      <c r="V58" s="337"/>
      <c r="W58" s="337"/>
      <c r="X58" s="339"/>
      <c r="Y58" s="339"/>
      <c r="Z58" s="339"/>
    </row>
    <row r="59" ht="26.25" customHeight="1" spans="1:26">
      <c r="A59" s="326"/>
      <c r="B59" s="327"/>
      <c r="C59" s="327"/>
      <c r="D59" s="330"/>
      <c r="E59" s="332" t="s">
        <v>120</v>
      </c>
      <c r="F59" s="330"/>
      <c r="G59" s="329"/>
      <c r="H59" s="329"/>
      <c r="I59" s="329"/>
      <c r="J59" s="329"/>
      <c r="K59" s="329"/>
      <c r="L59" s="329"/>
      <c r="M59" s="329"/>
      <c r="N59" s="329">
        <v>0.1026</v>
      </c>
      <c r="O59" s="329"/>
      <c r="P59" s="337"/>
      <c r="Q59" s="337"/>
      <c r="R59" s="337"/>
      <c r="S59" s="337"/>
      <c r="T59" s="337"/>
      <c r="U59" s="337"/>
      <c r="V59" s="337"/>
      <c r="W59" s="337"/>
      <c r="X59" s="339"/>
      <c r="Y59" s="339"/>
      <c r="Z59" s="339"/>
    </row>
    <row r="60" ht="26.25" customHeight="1" spans="1:26">
      <c r="A60" s="326"/>
      <c r="B60" s="327"/>
      <c r="C60" s="327"/>
      <c r="D60" s="330"/>
      <c r="E60" s="332" t="s">
        <v>121</v>
      </c>
      <c r="F60" s="330"/>
      <c r="G60" s="329"/>
      <c r="H60" s="329"/>
      <c r="I60" s="329"/>
      <c r="J60" s="329"/>
      <c r="K60" s="329"/>
      <c r="L60" s="329"/>
      <c r="M60" s="329"/>
      <c r="N60" s="329">
        <v>0.0108</v>
      </c>
      <c r="O60" s="329"/>
      <c r="P60" s="337"/>
      <c r="Q60" s="337"/>
      <c r="R60" s="337"/>
      <c r="S60" s="337"/>
      <c r="T60" s="337"/>
      <c r="U60" s="337"/>
      <c r="V60" s="337"/>
      <c r="W60" s="337"/>
      <c r="X60" s="339"/>
      <c r="Y60" s="339"/>
      <c r="Z60" s="339"/>
    </row>
    <row r="61" ht="37.5" customHeight="1" spans="1:37">
      <c r="A61" s="326">
        <v>12</v>
      </c>
      <c r="B61" s="327" t="s">
        <v>122</v>
      </c>
      <c r="C61" s="327"/>
      <c r="D61" s="330" t="s">
        <v>122</v>
      </c>
      <c r="E61" s="331" t="s">
        <v>123</v>
      </c>
      <c r="F61" s="330" t="s">
        <v>114</v>
      </c>
      <c r="G61" s="329"/>
      <c r="H61" s="329"/>
      <c r="I61" s="329"/>
      <c r="J61" s="329"/>
      <c r="K61" s="329"/>
      <c r="L61" s="329"/>
      <c r="M61" s="329"/>
      <c r="N61" s="329"/>
      <c r="O61" s="329">
        <f>ROUND(SUM(N61:N62),4)</f>
        <v>0.0559</v>
      </c>
      <c r="P61" s="337">
        <v>16389984</v>
      </c>
      <c r="Q61" s="337"/>
      <c r="R61" s="337">
        <v>1805802</v>
      </c>
      <c r="S61" s="337">
        <v>443610</v>
      </c>
      <c r="T61" s="337">
        <f>ROUND(ROUND(O61,4)*P61,0)</f>
        <v>916200</v>
      </c>
      <c r="U61" s="337">
        <f>ROUND(ROUND(O61,4)*Q61,0)</f>
        <v>0</v>
      </c>
      <c r="V61" s="337">
        <f>ROUND(ROUND(O61,4)*R61,0)</f>
        <v>100944</v>
      </c>
      <c r="W61" s="337">
        <f>ROUND(ROUND(O61,4)*S61,0)</f>
        <v>24798</v>
      </c>
      <c r="X61" s="339"/>
      <c r="Y61" s="339"/>
      <c r="Z61" s="339"/>
      <c r="AA61" s="325" t="s">
        <v>47</v>
      </c>
      <c r="AB61" s="325" t="s">
        <v>48</v>
      </c>
      <c r="AC61" s="324" t="s">
        <v>124</v>
      </c>
      <c r="AD61" s="324" t="s">
        <v>125</v>
      </c>
      <c r="AE61" s="324" t="s">
        <v>126</v>
      </c>
      <c r="AK61" s="325" t="s">
        <v>51</v>
      </c>
    </row>
    <row r="62" ht="26.25" customHeight="1" spans="1:26">
      <c r="A62" s="326"/>
      <c r="B62" s="327"/>
      <c r="C62" s="327"/>
      <c r="D62" s="330"/>
      <c r="E62" s="332" t="s">
        <v>127</v>
      </c>
      <c r="F62" s="330"/>
      <c r="G62" s="329"/>
      <c r="H62" s="329"/>
      <c r="I62" s="329"/>
      <c r="J62" s="329"/>
      <c r="K62" s="329"/>
      <c r="L62" s="329"/>
      <c r="M62" s="329"/>
      <c r="N62" s="329">
        <v>0.0559</v>
      </c>
      <c r="O62" s="329"/>
      <c r="P62" s="337"/>
      <c r="Q62" s="337"/>
      <c r="R62" s="337"/>
      <c r="S62" s="337"/>
      <c r="T62" s="337"/>
      <c r="U62" s="337"/>
      <c r="V62" s="337"/>
      <c r="W62" s="337"/>
      <c r="X62" s="339"/>
      <c r="Y62" s="339"/>
      <c r="Z62" s="339"/>
    </row>
    <row r="63" ht="37.5" customHeight="1" spans="1:37">
      <c r="A63" s="326">
        <v>13</v>
      </c>
      <c r="B63" s="327" t="s">
        <v>105</v>
      </c>
      <c r="C63" s="327"/>
      <c r="D63" s="330" t="s">
        <v>105</v>
      </c>
      <c r="E63" s="331" t="s">
        <v>128</v>
      </c>
      <c r="F63" s="330" t="s">
        <v>107</v>
      </c>
      <c r="G63" s="329"/>
      <c r="H63" s="329"/>
      <c r="I63" s="329"/>
      <c r="J63" s="329"/>
      <c r="K63" s="329"/>
      <c r="L63" s="329">
        <f>ROUND(SUM(L64:L77),4)</f>
        <v>84.28</v>
      </c>
      <c r="M63" s="329">
        <f>ROUND(SUM(M64:M77),4)</f>
        <v>168.56</v>
      </c>
      <c r="N63" s="329"/>
      <c r="O63" s="329">
        <f>ROUND(SUM(N63:N77),4)</f>
        <v>0.4582</v>
      </c>
      <c r="P63" s="337">
        <v>2932030</v>
      </c>
      <c r="Q63" s="337"/>
      <c r="R63" s="337">
        <v>2946878</v>
      </c>
      <c r="S63" s="337"/>
      <c r="T63" s="337">
        <f>ROUND(ROUND(O63,4)*P63,0)</f>
        <v>1343456</v>
      </c>
      <c r="U63" s="337">
        <f>ROUND(ROUND(O63,4)*Q63,0)</f>
        <v>0</v>
      </c>
      <c r="V63" s="337">
        <f>ROUND(ROUND(O63,4)*R63,0)</f>
        <v>1350259</v>
      </c>
      <c r="W63" s="337">
        <f>ROUND(ROUND(O63,4)*S63,0)</f>
        <v>0</v>
      </c>
      <c r="X63" s="339"/>
      <c r="Y63" s="339"/>
      <c r="Z63" s="339"/>
      <c r="AA63" s="325" t="s">
        <v>47</v>
      </c>
      <c r="AB63" s="325" t="s">
        <v>48</v>
      </c>
      <c r="AC63" s="324" t="s">
        <v>108</v>
      </c>
      <c r="AD63" s="324" t="s">
        <v>109</v>
      </c>
      <c r="AK63" s="325" t="s">
        <v>51</v>
      </c>
    </row>
    <row r="64" ht="16.5" customHeight="1" spans="1:26">
      <c r="A64" s="326"/>
      <c r="B64" s="327"/>
      <c r="C64" s="327"/>
      <c r="D64" s="330"/>
      <c r="E64" s="333" t="s">
        <v>129</v>
      </c>
      <c r="F64" s="330"/>
      <c r="G64" s="329"/>
      <c r="H64" s="329"/>
      <c r="I64" s="329"/>
      <c r="J64" s="329"/>
      <c r="K64" s="329"/>
      <c r="L64" s="329"/>
      <c r="M64" s="329"/>
      <c r="N64" s="329"/>
      <c r="O64" s="329"/>
      <c r="P64" s="337"/>
      <c r="Q64" s="337"/>
      <c r="R64" s="337"/>
      <c r="S64" s="337"/>
      <c r="T64" s="337"/>
      <c r="U64" s="337"/>
      <c r="V64" s="337"/>
      <c r="W64" s="337"/>
      <c r="X64" s="339"/>
      <c r="Y64" s="339"/>
      <c r="Z64" s="339"/>
    </row>
    <row r="65" ht="16.5" customHeight="1" spans="1:26">
      <c r="A65" s="326"/>
      <c r="B65" s="327"/>
      <c r="C65" s="327"/>
      <c r="D65" s="330"/>
      <c r="E65" s="332" t="s">
        <v>102</v>
      </c>
      <c r="F65" s="330"/>
      <c r="G65" s="329">
        <v>2</v>
      </c>
      <c r="H65" s="329">
        <f>H41</f>
        <v>6.96</v>
      </c>
      <c r="I65" s="329">
        <v>2</v>
      </c>
      <c r="J65" s="329">
        <v>0.1</v>
      </c>
      <c r="K65" s="329">
        <v>0.01</v>
      </c>
      <c r="L65" s="329">
        <f>ROUND(G65*H65,4)</f>
        <v>13.92</v>
      </c>
      <c r="M65" s="329">
        <f>ROUND(G65*H65*I65,4)</f>
        <v>27.84</v>
      </c>
      <c r="N65" s="329">
        <f>ROUND(G65*H65*I65*J65*K65,4)</f>
        <v>0.0278</v>
      </c>
      <c r="O65" s="329"/>
      <c r="P65" s="337"/>
      <c r="Q65" s="337"/>
      <c r="R65" s="337"/>
      <c r="S65" s="337"/>
      <c r="T65" s="337"/>
      <c r="U65" s="337"/>
      <c r="V65" s="337"/>
      <c r="W65" s="337"/>
      <c r="X65" s="339"/>
      <c r="Y65" s="339"/>
      <c r="Z65" s="339"/>
    </row>
    <row r="66" ht="16.5" customHeight="1" spans="1:26">
      <c r="A66" s="326"/>
      <c r="B66" s="327"/>
      <c r="C66" s="327"/>
      <c r="D66" s="330"/>
      <c r="E66" s="332" t="s">
        <v>103</v>
      </c>
      <c r="F66" s="330"/>
      <c r="G66" s="329">
        <v>1</v>
      </c>
      <c r="H66" s="329">
        <f>H42</f>
        <v>3.4</v>
      </c>
      <c r="I66" s="329">
        <v>2</v>
      </c>
      <c r="J66" s="329">
        <v>0.1</v>
      </c>
      <c r="K66" s="329">
        <v>0.01</v>
      </c>
      <c r="L66" s="329">
        <f>ROUND(G66*H66,4)</f>
        <v>3.4</v>
      </c>
      <c r="M66" s="329">
        <f>ROUND(G66*H66*I66,4)</f>
        <v>6.8</v>
      </c>
      <c r="N66" s="329">
        <f>ROUND(G66*H66*I66*J66*K66,4)</f>
        <v>0.0068</v>
      </c>
      <c r="O66" s="329"/>
      <c r="P66" s="337"/>
      <c r="Q66" s="337"/>
      <c r="R66" s="337"/>
      <c r="S66" s="337"/>
      <c r="T66" s="337"/>
      <c r="U66" s="337"/>
      <c r="V66" s="337"/>
      <c r="W66" s="337"/>
      <c r="X66" s="339"/>
      <c r="Y66" s="339"/>
      <c r="Z66" s="339"/>
    </row>
    <row r="67" ht="16.5" customHeight="1" spans="1:26">
      <c r="A67" s="326"/>
      <c r="B67" s="327"/>
      <c r="C67" s="327"/>
      <c r="D67" s="330"/>
      <c r="E67" s="332"/>
      <c r="F67" s="330"/>
      <c r="G67" s="329">
        <v>1</v>
      </c>
      <c r="H67" s="329">
        <f>H43</f>
        <v>1.8</v>
      </c>
      <c r="I67" s="329">
        <v>2</v>
      </c>
      <c r="J67" s="329">
        <v>0.1</v>
      </c>
      <c r="K67" s="329">
        <v>0.01</v>
      </c>
      <c r="L67" s="329">
        <f>ROUND(G67*H67,4)</f>
        <v>1.8</v>
      </c>
      <c r="M67" s="329">
        <f>ROUND(G67*H67*I67,4)</f>
        <v>3.6</v>
      </c>
      <c r="N67" s="329">
        <f>ROUND(G67*H67*I67*J67*K67,4)</f>
        <v>0.0036</v>
      </c>
      <c r="O67" s="329"/>
      <c r="P67" s="337"/>
      <c r="Q67" s="337"/>
      <c r="R67" s="337"/>
      <c r="S67" s="337"/>
      <c r="T67" s="337"/>
      <c r="U67" s="337"/>
      <c r="V67" s="337"/>
      <c r="W67" s="337"/>
      <c r="X67" s="339"/>
      <c r="Y67" s="339"/>
      <c r="Z67" s="339"/>
    </row>
    <row r="68" ht="16.5" customHeight="1" spans="1:26">
      <c r="A68" s="326"/>
      <c r="B68" s="327"/>
      <c r="C68" s="327"/>
      <c r="D68" s="330"/>
      <c r="E68" s="332" t="s">
        <v>104</v>
      </c>
      <c r="F68" s="330"/>
      <c r="G68" s="329">
        <v>2</v>
      </c>
      <c r="H68" s="329">
        <f>H44</f>
        <v>3.4</v>
      </c>
      <c r="I68" s="329">
        <v>2</v>
      </c>
      <c r="J68" s="329">
        <v>0.1</v>
      </c>
      <c r="K68" s="329">
        <v>0.01</v>
      </c>
      <c r="L68" s="329">
        <f>ROUND(G68*H68,4)</f>
        <v>6.8</v>
      </c>
      <c r="M68" s="329">
        <f>ROUND(G68*H68*I68,4)</f>
        <v>13.6</v>
      </c>
      <c r="N68" s="329">
        <f>ROUND(G68*H68*I68*J68*K68,4)</f>
        <v>0.0136</v>
      </c>
      <c r="O68" s="329"/>
      <c r="P68" s="337"/>
      <c r="Q68" s="337"/>
      <c r="R68" s="337"/>
      <c r="S68" s="337"/>
      <c r="T68" s="337"/>
      <c r="U68" s="337"/>
      <c r="V68" s="337"/>
      <c r="W68" s="337"/>
      <c r="X68" s="339"/>
      <c r="Y68" s="339"/>
      <c r="Z68" s="339"/>
    </row>
    <row r="69" ht="16.5" customHeight="1" spans="1:26">
      <c r="A69" s="326"/>
      <c r="B69" s="327"/>
      <c r="C69" s="327"/>
      <c r="D69" s="330"/>
      <c r="E69" s="332" t="s">
        <v>69</v>
      </c>
      <c r="F69" s="330"/>
      <c r="G69" s="329">
        <v>1</v>
      </c>
      <c r="H69" s="329">
        <f>H45</f>
        <v>1.14</v>
      </c>
      <c r="I69" s="329">
        <v>2</v>
      </c>
      <c r="J69" s="329">
        <v>0.1</v>
      </c>
      <c r="K69" s="329">
        <v>0.01</v>
      </c>
      <c r="L69" s="329">
        <f>ROUND(G69*H69,4)</f>
        <v>1.14</v>
      </c>
      <c r="M69" s="329">
        <f>ROUND(G69*H69*I69,4)</f>
        <v>2.28</v>
      </c>
      <c r="N69" s="329">
        <f>ROUND(G69*H69*I69*J69*K69,4)</f>
        <v>0.0023</v>
      </c>
      <c r="O69" s="329"/>
      <c r="P69" s="337"/>
      <c r="Q69" s="337"/>
      <c r="R69" s="337"/>
      <c r="S69" s="337"/>
      <c r="T69" s="337"/>
      <c r="U69" s="337"/>
      <c r="V69" s="337"/>
      <c r="W69" s="337"/>
      <c r="X69" s="339"/>
      <c r="Y69" s="339"/>
      <c r="Z69" s="339"/>
    </row>
    <row r="70" ht="16.5" customHeight="1" spans="1:26">
      <c r="A70" s="326"/>
      <c r="B70" s="327"/>
      <c r="C70" s="327"/>
      <c r="D70" s="330"/>
      <c r="E70" s="333" t="s">
        <v>130</v>
      </c>
      <c r="F70" s="330"/>
      <c r="G70" s="329"/>
      <c r="H70" s="329"/>
      <c r="I70" s="329"/>
      <c r="J70" s="329"/>
      <c r="K70" s="329"/>
      <c r="L70" s="329"/>
      <c r="M70" s="329"/>
      <c r="N70" s="329"/>
      <c r="O70" s="329"/>
      <c r="P70" s="337"/>
      <c r="Q70" s="337"/>
      <c r="R70" s="337"/>
      <c r="S70" s="337"/>
      <c r="T70" s="337"/>
      <c r="U70" s="337"/>
      <c r="V70" s="337"/>
      <c r="W70" s="337"/>
      <c r="X70" s="339"/>
      <c r="Y70" s="339"/>
      <c r="Z70" s="339"/>
    </row>
    <row r="71" ht="16.5" customHeight="1" spans="1:26">
      <c r="A71" s="326"/>
      <c r="B71" s="327"/>
      <c r="C71" s="327"/>
      <c r="D71" s="330"/>
      <c r="E71" s="332" t="s">
        <v>102</v>
      </c>
      <c r="F71" s="330"/>
      <c r="G71" s="329">
        <v>2</v>
      </c>
      <c r="H71" s="329">
        <f>H65</f>
        <v>6.96</v>
      </c>
      <c r="I71" s="329">
        <v>2</v>
      </c>
      <c r="J71" s="329">
        <v>0.65</v>
      </c>
      <c r="K71" s="329">
        <v>0.01</v>
      </c>
      <c r="L71" s="329">
        <f t="shared" ref="L71:L77" si="4">ROUND(G71*H71,4)</f>
        <v>13.92</v>
      </c>
      <c r="M71" s="329">
        <f t="shared" ref="M71:M77" si="5">ROUND(G71*H71*I71,4)</f>
        <v>27.84</v>
      </c>
      <c r="N71" s="329">
        <f t="shared" ref="N71:N77" si="6">ROUND(G71*H71*I71*J71*K71,4)</f>
        <v>0.181</v>
      </c>
      <c r="O71" s="329"/>
      <c r="P71" s="337"/>
      <c r="Q71" s="337"/>
      <c r="R71" s="337"/>
      <c r="S71" s="337"/>
      <c r="T71" s="337"/>
      <c r="U71" s="337"/>
      <c r="V71" s="337"/>
      <c r="W71" s="337"/>
      <c r="X71" s="339"/>
      <c r="Y71" s="339"/>
      <c r="Z71" s="339"/>
    </row>
    <row r="72" ht="16.5" customHeight="1" spans="1:26">
      <c r="A72" s="326"/>
      <c r="B72" s="327"/>
      <c r="C72" s="327"/>
      <c r="D72" s="330"/>
      <c r="E72" s="332" t="s">
        <v>103</v>
      </c>
      <c r="F72" s="330"/>
      <c r="G72" s="329">
        <v>1</v>
      </c>
      <c r="H72" s="329">
        <f>H66</f>
        <v>3.4</v>
      </c>
      <c r="I72" s="329">
        <v>2</v>
      </c>
      <c r="J72" s="329">
        <v>0.65</v>
      </c>
      <c r="K72" s="329">
        <v>0.01</v>
      </c>
      <c r="L72" s="329">
        <f t="shared" si="4"/>
        <v>3.4</v>
      </c>
      <c r="M72" s="329">
        <f t="shared" si="5"/>
        <v>6.8</v>
      </c>
      <c r="N72" s="329">
        <f t="shared" si="6"/>
        <v>0.0442</v>
      </c>
      <c r="O72" s="329"/>
      <c r="P72" s="337"/>
      <c r="Q72" s="337"/>
      <c r="R72" s="337"/>
      <c r="S72" s="337"/>
      <c r="T72" s="337"/>
      <c r="U72" s="337"/>
      <c r="V72" s="337"/>
      <c r="W72" s="337"/>
      <c r="X72" s="339"/>
      <c r="Y72" s="339"/>
      <c r="Z72" s="339"/>
    </row>
    <row r="73" ht="16.5" customHeight="1" spans="1:26">
      <c r="A73" s="326"/>
      <c r="B73" s="327"/>
      <c r="C73" s="327"/>
      <c r="D73" s="330"/>
      <c r="E73" s="332"/>
      <c r="F73" s="330"/>
      <c r="G73" s="329">
        <v>1</v>
      </c>
      <c r="H73" s="329">
        <f>H67</f>
        <v>1.8</v>
      </c>
      <c r="I73" s="329">
        <v>2</v>
      </c>
      <c r="J73" s="329">
        <v>0.65</v>
      </c>
      <c r="K73" s="329">
        <v>0.01</v>
      </c>
      <c r="L73" s="329">
        <f t="shared" si="4"/>
        <v>1.8</v>
      </c>
      <c r="M73" s="329">
        <f t="shared" si="5"/>
        <v>3.6</v>
      </c>
      <c r="N73" s="329">
        <f t="shared" si="6"/>
        <v>0.0234</v>
      </c>
      <c r="O73" s="329"/>
      <c r="P73" s="337"/>
      <c r="Q73" s="337"/>
      <c r="R73" s="337"/>
      <c r="S73" s="337"/>
      <c r="T73" s="337"/>
      <c r="U73" s="337"/>
      <c r="V73" s="337"/>
      <c r="W73" s="337"/>
      <c r="X73" s="339"/>
      <c r="Y73" s="339"/>
      <c r="Z73" s="339"/>
    </row>
    <row r="74" ht="16.5" customHeight="1" spans="1:26">
      <c r="A74" s="326"/>
      <c r="B74" s="327"/>
      <c r="C74" s="327"/>
      <c r="D74" s="330"/>
      <c r="E74" s="332" t="s">
        <v>104</v>
      </c>
      <c r="F74" s="330"/>
      <c r="G74" s="329">
        <v>2</v>
      </c>
      <c r="H74" s="329">
        <f>H68</f>
        <v>3.4</v>
      </c>
      <c r="I74" s="329">
        <v>2</v>
      </c>
      <c r="J74" s="329">
        <v>0.65</v>
      </c>
      <c r="K74" s="329">
        <v>0.01</v>
      </c>
      <c r="L74" s="329">
        <f t="shared" si="4"/>
        <v>6.8</v>
      </c>
      <c r="M74" s="329">
        <f t="shared" si="5"/>
        <v>13.6</v>
      </c>
      <c r="N74" s="329">
        <f t="shared" si="6"/>
        <v>0.0884</v>
      </c>
      <c r="O74" s="329"/>
      <c r="P74" s="337"/>
      <c r="Q74" s="337"/>
      <c r="R74" s="337"/>
      <c r="S74" s="337"/>
      <c r="T74" s="337"/>
      <c r="U74" s="337"/>
      <c r="V74" s="337"/>
      <c r="W74" s="337"/>
      <c r="X74" s="339"/>
      <c r="Y74" s="339"/>
      <c r="Z74" s="339"/>
    </row>
    <row r="75" ht="16.5" customHeight="1" spans="1:26">
      <c r="A75" s="326"/>
      <c r="B75" s="327"/>
      <c r="C75" s="327"/>
      <c r="D75" s="330"/>
      <c r="E75" s="332" t="s">
        <v>69</v>
      </c>
      <c r="F75" s="330"/>
      <c r="G75" s="329">
        <v>1</v>
      </c>
      <c r="H75" s="329">
        <f>H69</f>
        <v>1.14</v>
      </c>
      <c r="I75" s="329">
        <v>2</v>
      </c>
      <c r="J75" s="329">
        <v>0.3</v>
      </c>
      <c r="K75" s="329">
        <v>0.01</v>
      </c>
      <c r="L75" s="329">
        <f t="shared" si="4"/>
        <v>1.14</v>
      </c>
      <c r="M75" s="329">
        <f t="shared" si="5"/>
        <v>2.28</v>
      </c>
      <c r="N75" s="329">
        <f t="shared" si="6"/>
        <v>0.0068</v>
      </c>
      <c r="O75" s="329"/>
      <c r="P75" s="337"/>
      <c r="Q75" s="337"/>
      <c r="R75" s="337"/>
      <c r="S75" s="337"/>
      <c r="T75" s="337"/>
      <c r="U75" s="337"/>
      <c r="V75" s="337"/>
      <c r="W75" s="337"/>
      <c r="X75" s="339"/>
      <c r="Y75" s="339"/>
      <c r="Z75" s="339"/>
    </row>
    <row r="76" ht="16.5" customHeight="1" spans="1:26">
      <c r="A76" s="326"/>
      <c r="B76" s="327"/>
      <c r="C76" s="327"/>
      <c r="D76" s="330"/>
      <c r="E76" s="332" t="s">
        <v>131</v>
      </c>
      <c r="F76" s="330"/>
      <c r="G76" s="329">
        <v>1</v>
      </c>
      <c r="H76" s="329">
        <f>H21</f>
        <v>4.56</v>
      </c>
      <c r="I76" s="329">
        <v>2</v>
      </c>
      <c r="J76" s="329">
        <v>0.1</v>
      </c>
      <c r="K76" s="329">
        <v>0.01</v>
      </c>
      <c r="L76" s="329">
        <f t="shared" si="4"/>
        <v>4.56</v>
      </c>
      <c r="M76" s="329">
        <f t="shared" si="5"/>
        <v>9.12</v>
      </c>
      <c r="N76" s="329">
        <f t="shared" si="6"/>
        <v>0.0091</v>
      </c>
      <c r="O76" s="329"/>
      <c r="P76" s="337"/>
      <c r="Q76" s="337"/>
      <c r="R76" s="337"/>
      <c r="S76" s="337"/>
      <c r="T76" s="337"/>
      <c r="U76" s="337"/>
      <c r="V76" s="337"/>
      <c r="W76" s="337"/>
      <c r="X76" s="344"/>
      <c r="Y76" s="339"/>
      <c r="Z76" s="339"/>
    </row>
    <row r="77" ht="16.5" customHeight="1" spans="1:26">
      <c r="A77" s="326"/>
      <c r="B77" s="327"/>
      <c r="C77" s="327"/>
      <c r="D77" s="330"/>
      <c r="E77" s="332" t="s">
        <v>132</v>
      </c>
      <c r="F77" s="330"/>
      <c r="G77" s="329">
        <v>1</v>
      </c>
      <c r="H77" s="329">
        <f>H22</f>
        <v>25.6</v>
      </c>
      <c r="I77" s="329">
        <v>2</v>
      </c>
      <c r="J77" s="329">
        <v>0.1</v>
      </c>
      <c r="K77" s="329">
        <v>0.01</v>
      </c>
      <c r="L77" s="329">
        <f t="shared" si="4"/>
        <v>25.6</v>
      </c>
      <c r="M77" s="329">
        <f t="shared" si="5"/>
        <v>51.2</v>
      </c>
      <c r="N77" s="329">
        <f t="shared" si="6"/>
        <v>0.0512</v>
      </c>
      <c r="O77" s="329"/>
      <c r="P77" s="337"/>
      <c r="Q77" s="337"/>
      <c r="R77" s="337"/>
      <c r="S77" s="337"/>
      <c r="T77" s="337"/>
      <c r="U77" s="337"/>
      <c r="V77" s="337"/>
      <c r="W77" s="337"/>
      <c r="X77" s="344"/>
      <c r="Y77" s="339"/>
      <c r="Z77" s="339"/>
    </row>
    <row r="78" ht="37.5" customHeight="1" spans="1:37">
      <c r="A78" s="326">
        <v>14</v>
      </c>
      <c r="B78" s="327" t="s">
        <v>112</v>
      </c>
      <c r="C78" s="327"/>
      <c r="D78" s="330" t="s">
        <v>112</v>
      </c>
      <c r="E78" s="331" t="s">
        <v>133</v>
      </c>
      <c r="F78" s="330" t="s">
        <v>114</v>
      </c>
      <c r="G78" s="329"/>
      <c r="H78" s="329"/>
      <c r="I78" s="329"/>
      <c r="J78" s="329"/>
      <c r="K78" s="329"/>
      <c r="L78" s="329"/>
      <c r="M78" s="329"/>
      <c r="N78" s="329"/>
      <c r="O78" s="329">
        <f>ROUND(SUM(N78:N84),4)</f>
        <v>0.254</v>
      </c>
      <c r="P78" s="337">
        <v>16497030</v>
      </c>
      <c r="Q78" s="337"/>
      <c r="R78" s="337">
        <v>2451040</v>
      </c>
      <c r="S78" s="337">
        <v>94725</v>
      </c>
      <c r="T78" s="337">
        <f>ROUND(ROUND(O78,4)*P78,0)</f>
        <v>4190246</v>
      </c>
      <c r="U78" s="337">
        <f>ROUND(ROUND(O78,4)*Q78,0)</f>
        <v>0</v>
      </c>
      <c r="V78" s="337">
        <f>ROUND(ROUND(O78,4)*R78,0)</f>
        <v>622564</v>
      </c>
      <c r="W78" s="337">
        <f>ROUND(ROUND(O78,4)*S78,0)</f>
        <v>24060</v>
      </c>
      <c r="X78" s="339"/>
      <c r="Y78" s="339"/>
      <c r="Z78" s="339"/>
      <c r="AA78" s="325" t="s">
        <v>47</v>
      </c>
      <c r="AB78" s="325" t="s">
        <v>48</v>
      </c>
      <c r="AC78" s="324" t="s">
        <v>134</v>
      </c>
      <c r="AD78" s="324" t="s">
        <v>116</v>
      </c>
      <c r="AE78" s="324" t="s">
        <v>117</v>
      </c>
      <c r="AK78" s="325" t="s">
        <v>51</v>
      </c>
    </row>
    <row r="79" ht="16.5" customHeight="1" spans="1:26">
      <c r="A79" s="326"/>
      <c r="B79" s="327"/>
      <c r="C79" s="327"/>
      <c r="D79" s="330"/>
      <c r="E79" s="332" t="s">
        <v>135</v>
      </c>
      <c r="F79" s="330"/>
      <c r="G79" s="329"/>
      <c r="H79" s="329"/>
      <c r="I79" s="329"/>
      <c r="J79" s="329"/>
      <c r="K79" s="329"/>
      <c r="L79" s="329"/>
      <c r="M79" s="329"/>
      <c r="N79" s="329">
        <v>0.1164</v>
      </c>
      <c r="O79" s="329"/>
      <c r="P79" s="337"/>
      <c r="Q79" s="337"/>
      <c r="R79" s="337"/>
      <c r="S79" s="337"/>
      <c r="T79" s="337"/>
      <c r="U79" s="337"/>
      <c r="V79" s="337"/>
      <c r="W79" s="337"/>
      <c r="X79" s="339"/>
      <c r="Y79" s="339"/>
      <c r="Z79" s="339"/>
    </row>
    <row r="80" ht="16.5" customHeight="1" spans="1:26">
      <c r="A80" s="326"/>
      <c r="B80" s="327"/>
      <c r="C80" s="327"/>
      <c r="D80" s="330"/>
      <c r="E80" s="332" t="s">
        <v>136</v>
      </c>
      <c r="F80" s="330"/>
      <c r="G80" s="329"/>
      <c r="H80" s="329"/>
      <c r="I80" s="329"/>
      <c r="J80" s="329"/>
      <c r="K80" s="329"/>
      <c r="L80" s="329"/>
      <c r="M80" s="329"/>
      <c r="N80" s="329">
        <v>0.05</v>
      </c>
      <c r="O80" s="329"/>
      <c r="P80" s="337"/>
      <c r="Q80" s="337"/>
      <c r="R80" s="337"/>
      <c r="S80" s="337"/>
      <c r="T80" s="337"/>
      <c r="U80" s="337"/>
      <c r="V80" s="337"/>
      <c r="W80" s="337"/>
      <c r="X80" s="339"/>
      <c r="Y80" s="339"/>
      <c r="Z80" s="339"/>
    </row>
    <row r="81" ht="16.5" customHeight="1" spans="1:26">
      <c r="A81" s="326"/>
      <c r="B81" s="327"/>
      <c r="C81" s="327"/>
      <c r="D81" s="330"/>
      <c r="E81" s="332" t="s">
        <v>137</v>
      </c>
      <c r="F81" s="330"/>
      <c r="G81" s="329"/>
      <c r="H81" s="329"/>
      <c r="I81" s="329"/>
      <c r="J81" s="329"/>
      <c r="K81" s="329"/>
      <c r="L81" s="329"/>
      <c r="M81" s="329"/>
      <c r="N81" s="329">
        <v>0.05</v>
      </c>
      <c r="O81" s="329"/>
      <c r="P81" s="337"/>
      <c r="Q81" s="337"/>
      <c r="R81" s="337"/>
      <c r="S81" s="337"/>
      <c r="T81" s="337"/>
      <c r="U81" s="337"/>
      <c r="V81" s="337"/>
      <c r="W81" s="337"/>
      <c r="X81" s="339"/>
      <c r="Y81" s="339"/>
      <c r="Z81" s="339"/>
    </row>
    <row r="82" ht="16.5" customHeight="1" spans="1:26">
      <c r="A82" s="326"/>
      <c r="B82" s="327"/>
      <c r="C82" s="327"/>
      <c r="D82" s="330"/>
      <c r="E82" s="332" t="s">
        <v>138</v>
      </c>
      <c r="F82" s="330"/>
      <c r="G82" s="329"/>
      <c r="H82" s="329"/>
      <c r="I82" s="329"/>
      <c r="J82" s="329"/>
      <c r="K82" s="329"/>
      <c r="L82" s="329"/>
      <c r="M82" s="329"/>
      <c r="N82" s="329">
        <v>0.0013</v>
      </c>
      <c r="O82" s="329"/>
      <c r="P82" s="337"/>
      <c r="Q82" s="337"/>
      <c r="R82" s="337"/>
      <c r="S82" s="337"/>
      <c r="T82" s="337"/>
      <c r="U82" s="337"/>
      <c r="V82" s="337"/>
      <c r="W82" s="337"/>
      <c r="X82" s="339"/>
      <c r="Y82" s="339"/>
      <c r="Z82" s="339"/>
    </row>
    <row r="83" ht="16.5" customHeight="1" spans="1:26">
      <c r="A83" s="326"/>
      <c r="B83" s="327"/>
      <c r="C83" s="327"/>
      <c r="D83" s="330"/>
      <c r="E83" s="332" t="s">
        <v>139</v>
      </c>
      <c r="F83" s="330"/>
      <c r="G83" s="329"/>
      <c r="H83" s="329"/>
      <c r="I83" s="329"/>
      <c r="J83" s="329"/>
      <c r="K83" s="329"/>
      <c r="L83" s="329"/>
      <c r="M83" s="329"/>
      <c r="N83" s="329">
        <v>0.0054</v>
      </c>
      <c r="O83" s="329"/>
      <c r="P83" s="337"/>
      <c r="Q83" s="337"/>
      <c r="R83" s="337"/>
      <c r="S83" s="337"/>
      <c r="T83" s="337"/>
      <c r="U83" s="337"/>
      <c r="V83" s="337"/>
      <c r="W83" s="337"/>
      <c r="X83" s="339"/>
      <c r="Y83" s="339"/>
      <c r="Z83" s="339"/>
    </row>
    <row r="84" ht="16.5" customHeight="1" spans="1:26">
      <c r="A84" s="326"/>
      <c r="B84" s="327"/>
      <c r="C84" s="327"/>
      <c r="D84" s="330"/>
      <c r="E84" s="332" t="s">
        <v>140</v>
      </c>
      <c r="F84" s="330"/>
      <c r="G84" s="329"/>
      <c r="H84" s="329"/>
      <c r="I84" s="329"/>
      <c r="J84" s="329"/>
      <c r="K84" s="329"/>
      <c r="L84" s="329"/>
      <c r="M84" s="329"/>
      <c r="N84" s="329">
        <v>0.0309</v>
      </c>
      <c r="O84" s="329"/>
      <c r="P84" s="337"/>
      <c r="Q84" s="337"/>
      <c r="R84" s="337"/>
      <c r="S84" s="337"/>
      <c r="T84" s="337"/>
      <c r="U84" s="337"/>
      <c r="V84" s="337"/>
      <c r="W84" s="337"/>
      <c r="X84" s="339"/>
      <c r="Y84" s="339"/>
      <c r="Z84" s="339"/>
    </row>
    <row r="85" ht="37.5" customHeight="1" spans="1:37">
      <c r="A85" s="326">
        <v>15</v>
      </c>
      <c r="B85" s="327" t="s">
        <v>122</v>
      </c>
      <c r="C85" s="327"/>
      <c r="D85" s="330" t="s">
        <v>122</v>
      </c>
      <c r="E85" s="331" t="s">
        <v>141</v>
      </c>
      <c r="F85" s="330" t="s">
        <v>114</v>
      </c>
      <c r="G85" s="329"/>
      <c r="H85" s="329"/>
      <c r="I85" s="329"/>
      <c r="J85" s="329"/>
      <c r="K85" s="329"/>
      <c r="L85" s="329"/>
      <c r="M85" s="329"/>
      <c r="N85" s="329"/>
      <c r="O85" s="329">
        <f>ROUND(SUM(N85:N89),4)</f>
        <v>0.3154</v>
      </c>
      <c r="P85" s="337">
        <v>16389984</v>
      </c>
      <c r="Q85" s="337"/>
      <c r="R85" s="337">
        <v>1805802</v>
      </c>
      <c r="S85" s="337">
        <v>443610</v>
      </c>
      <c r="T85" s="337">
        <f>ROUND(ROUND(O85,4)*P85,0)</f>
        <v>5169401</v>
      </c>
      <c r="U85" s="337">
        <f>ROUND(ROUND(O85,4)*Q85,0)</f>
        <v>0</v>
      </c>
      <c r="V85" s="337">
        <f>ROUND(ROUND(O85,4)*R85,0)</f>
        <v>569550</v>
      </c>
      <c r="W85" s="337">
        <f>ROUND(ROUND(O85,4)*S85,0)</f>
        <v>139915</v>
      </c>
      <c r="X85" s="339"/>
      <c r="Y85" s="339"/>
      <c r="Z85" s="339"/>
      <c r="AA85" s="325" t="s">
        <v>47</v>
      </c>
      <c r="AB85" s="325" t="s">
        <v>48</v>
      </c>
      <c r="AC85" s="324" t="s">
        <v>142</v>
      </c>
      <c r="AD85" s="324" t="s">
        <v>125</v>
      </c>
      <c r="AE85" s="324" t="s">
        <v>126</v>
      </c>
      <c r="AK85" s="325" t="s">
        <v>51</v>
      </c>
    </row>
    <row r="86" ht="16.5" customHeight="1" spans="1:26">
      <c r="A86" s="326"/>
      <c r="B86" s="327"/>
      <c r="C86" s="327"/>
      <c r="D86" s="330"/>
      <c r="E86" s="332" t="s">
        <v>143</v>
      </c>
      <c r="F86" s="330"/>
      <c r="G86" s="329"/>
      <c r="H86" s="329"/>
      <c r="I86" s="329"/>
      <c r="J86" s="329"/>
      <c r="K86" s="329"/>
      <c r="L86" s="329"/>
      <c r="M86" s="329"/>
      <c r="N86" s="329">
        <v>0.1656</v>
      </c>
      <c r="O86" s="329"/>
      <c r="P86" s="337"/>
      <c r="Q86" s="337"/>
      <c r="R86" s="337"/>
      <c r="S86" s="337"/>
      <c r="T86" s="337"/>
      <c r="U86" s="337"/>
      <c r="V86" s="337"/>
      <c r="W86" s="337"/>
      <c r="X86" s="339"/>
      <c r="Y86" s="339"/>
      <c r="Z86" s="339"/>
    </row>
    <row r="87" ht="16.5" customHeight="1" spans="1:26">
      <c r="A87" s="326"/>
      <c r="B87" s="327"/>
      <c r="C87" s="327"/>
      <c r="D87" s="330"/>
      <c r="E87" s="332" t="s">
        <v>144</v>
      </c>
      <c r="F87" s="330"/>
      <c r="G87" s="329"/>
      <c r="H87" s="329"/>
      <c r="I87" s="329"/>
      <c r="J87" s="329"/>
      <c r="K87" s="329"/>
      <c r="L87" s="329"/>
      <c r="M87" s="329"/>
      <c r="N87" s="329">
        <v>0.0706</v>
      </c>
      <c r="O87" s="329"/>
      <c r="P87" s="337"/>
      <c r="Q87" s="337"/>
      <c r="R87" s="337"/>
      <c r="S87" s="337"/>
      <c r="T87" s="337"/>
      <c r="U87" s="337"/>
      <c r="V87" s="337"/>
      <c r="W87" s="337"/>
      <c r="X87" s="339"/>
      <c r="Y87" s="339"/>
      <c r="Z87" s="339"/>
    </row>
    <row r="88" ht="16.5" customHeight="1" spans="1:26">
      <c r="A88" s="326"/>
      <c r="B88" s="327"/>
      <c r="C88" s="327"/>
      <c r="D88" s="330"/>
      <c r="E88" s="332" t="s">
        <v>145</v>
      </c>
      <c r="F88" s="330"/>
      <c r="G88" s="329"/>
      <c r="H88" s="329"/>
      <c r="I88" s="329"/>
      <c r="J88" s="329"/>
      <c r="K88" s="329"/>
      <c r="L88" s="329"/>
      <c r="M88" s="329"/>
      <c r="N88" s="329">
        <v>0.0706</v>
      </c>
      <c r="O88" s="329"/>
      <c r="P88" s="337"/>
      <c r="Q88" s="337"/>
      <c r="R88" s="337"/>
      <c r="S88" s="337"/>
      <c r="T88" s="337"/>
      <c r="U88" s="337"/>
      <c r="V88" s="337"/>
      <c r="W88" s="337"/>
      <c r="X88" s="339"/>
      <c r="Y88" s="339"/>
      <c r="Z88" s="339"/>
    </row>
    <row r="89" ht="16.5" customHeight="1" spans="1:26">
      <c r="A89" s="326"/>
      <c r="B89" s="327"/>
      <c r="C89" s="327"/>
      <c r="D89" s="330"/>
      <c r="E89" s="332" t="s">
        <v>146</v>
      </c>
      <c r="F89" s="330"/>
      <c r="G89" s="329"/>
      <c r="H89" s="329"/>
      <c r="I89" s="329"/>
      <c r="J89" s="329"/>
      <c r="K89" s="329"/>
      <c r="L89" s="329"/>
      <c r="M89" s="329"/>
      <c r="N89" s="329">
        <v>0.0086</v>
      </c>
      <c r="O89" s="329"/>
      <c r="P89" s="337"/>
      <c r="Q89" s="337"/>
      <c r="R89" s="337"/>
      <c r="S89" s="337"/>
      <c r="T89" s="337"/>
      <c r="U89" s="337"/>
      <c r="V89" s="337"/>
      <c r="W89" s="337"/>
      <c r="X89" s="339"/>
      <c r="Y89" s="339"/>
      <c r="Z89" s="339"/>
    </row>
    <row r="90" ht="37.5" customHeight="1" spans="1:37">
      <c r="A90" s="326">
        <v>16</v>
      </c>
      <c r="B90" s="327" t="s">
        <v>147</v>
      </c>
      <c r="C90" s="327"/>
      <c r="D90" s="330" t="s">
        <v>147</v>
      </c>
      <c r="E90" s="331" t="s">
        <v>148</v>
      </c>
      <c r="F90" s="330" t="s">
        <v>114</v>
      </c>
      <c r="G90" s="329"/>
      <c r="H90" s="329"/>
      <c r="I90" s="329"/>
      <c r="J90" s="329"/>
      <c r="K90" s="329"/>
      <c r="L90" s="329"/>
      <c r="M90" s="329"/>
      <c r="N90" s="329"/>
      <c r="O90" s="329">
        <f>ROUND(SUM(N90:N93),4)</f>
        <v>0.4642</v>
      </c>
      <c r="P90" s="337">
        <v>16402260</v>
      </c>
      <c r="Q90" s="337"/>
      <c r="R90" s="337">
        <v>1374921</v>
      </c>
      <c r="S90" s="337">
        <v>454983</v>
      </c>
      <c r="T90" s="337">
        <f>ROUND(ROUND(O90,4)*P90,0)</f>
        <v>7613929</v>
      </c>
      <c r="U90" s="337">
        <f>ROUND(ROUND(O90,4)*Q90,0)</f>
        <v>0</v>
      </c>
      <c r="V90" s="337">
        <f>ROUND(ROUND(O90,4)*R90,0)</f>
        <v>638238</v>
      </c>
      <c r="W90" s="337">
        <f>ROUND(ROUND(O90,4)*S90,0)</f>
        <v>211203</v>
      </c>
      <c r="X90" s="339"/>
      <c r="Y90" s="339"/>
      <c r="Z90" s="339"/>
      <c r="AA90" s="325" t="s">
        <v>47</v>
      </c>
      <c r="AB90" s="325" t="s">
        <v>48</v>
      </c>
      <c r="AC90" s="324" t="s">
        <v>149</v>
      </c>
      <c r="AD90" s="324" t="s">
        <v>150</v>
      </c>
      <c r="AE90" s="324" t="s">
        <v>151</v>
      </c>
      <c r="AK90" s="325" t="s">
        <v>51</v>
      </c>
    </row>
    <row r="91" ht="16.5" customHeight="1" spans="1:26">
      <c r="A91" s="326"/>
      <c r="B91" s="327"/>
      <c r="C91" s="327"/>
      <c r="D91" s="330"/>
      <c r="E91" s="332" t="s">
        <v>152</v>
      </c>
      <c r="F91" s="330"/>
      <c r="G91" s="329"/>
      <c r="H91" s="329"/>
      <c r="I91" s="329"/>
      <c r="J91" s="329"/>
      <c r="K91" s="329"/>
      <c r="L91" s="329"/>
      <c r="M91" s="329"/>
      <c r="N91" s="329">
        <v>0.2522</v>
      </c>
      <c r="O91" s="329"/>
      <c r="P91" s="337"/>
      <c r="Q91" s="337"/>
      <c r="R91" s="337"/>
      <c r="S91" s="337"/>
      <c r="T91" s="337"/>
      <c r="U91" s="337"/>
      <c r="V91" s="337"/>
      <c r="W91" s="337"/>
      <c r="X91" s="339"/>
      <c r="Y91" s="339"/>
      <c r="Z91" s="339"/>
    </row>
    <row r="92" ht="16.5" customHeight="1" spans="1:26">
      <c r="A92" s="326"/>
      <c r="B92" s="327"/>
      <c r="C92" s="327"/>
      <c r="D92" s="330"/>
      <c r="E92" s="332" t="s">
        <v>153</v>
      </c>
      <c r="F92" s="330"/>
      <c r="G92" s="329"/>
      <c r="H92" s="329"/>
      <c r="I92" s="329"/>
      <c r="J92" s="329"/>
      <c r="K92" s="329"/>
      <c r="L92" s="329"/>
      <c r="M92" s="329"/>
      <c r="N92" s="329">
        <v>0.1212</v>
      </c>
      <c r="O92" s="329"/>
      <c r="P92" s="337"/>
      <c r="Q92" s="337"/>
      <c r="R92" s="337"/>
      <c r="S92" s="337"/>
      <c r="T92" s="337"/>
      <c r="U92" s="337"/>
      <c r="V92" s="337"/>
      <c r="W92" s="337"/>
      <c r="X92" s="339"/>
      <c r="Y92" s="339"/>
      <c r="Z92" s="339"/>
    </row>
    <row r="93" ht="16.5" customHeight="1" spans="1:26">
      <c r="A93" s="326"/>
      <c r="B93" s="327"/>
      <c r="C93" s="327"/>
      <c r="D93" s="330"/>
      <c r="E93" s="332" t="s">
        <v>154</v>
      </c>
      <c r="F93" s="330"/>
      <c r="G93" s="329"/>
      <c r="H93" s="329"/>
      <c r="I93" s="329"/>
      <c r="J93" s="329"/>
      <c r="K93" s="329"/>
      <c r="L93" s="329"/>
      <c r="M93" s="329"/>
      <c r="N93" s="329">
        <v>0.0908</v>
      </c>
      <c r="O93" s="329"/>
      <c r="P93" s="337"/>
      <c r="Q93" s="337"/>
      <c r="R93" s="337"/>
      <c r="S93" s="337"/>
      <c r="T93" s="337"/>
      <c r="U93" s="337"/>
      <c r="V93" s="337"/>
      <c r="W93" s="337"/>
      <c r="X93" s="339"/>
      <c r="Y93" s="339"/>
      <c r="Z93" s="339"/>
    </row>
    <row r="94" ht="48.75" customHeight="1" spans="1:37">
      <c r="A94" s="326">
        <v>17</v>
      </c>
      <c r="B94" s="327" t="s">
        <v>155</v>
      </c>
      <c r="C94" s="327" t="s">
        <v>156</v>
      </c>
      <c r="D94" s="330" t="s">
        <v>155</v>
      </c>
      <c r="E94" s="331" t="s">
        <v>157</v>
      </c>
      <c r="F94" s="330" t="s">
        <v>55</v>
      </c>
      <c r="G94" s="329"/>
      <c r="H94" s="329"/>
      <c r="I94" s="329"/>
      <c r="J94" s="329"/>
      <c r="K94" s="329"/>
      <c r="L94" s="329">
        <f>ROUND(SUM(L95:L99),4)</f>
        <v>10.96</v>
      </c>
      <c r="M94" s="329">
        <f>ROUND(SUM(M95:M99),4)</f>
        <v>8.2254</v>
      </c>
      <c r="N94" s="329"/>
      <c r="O94" s="329">
        <f>ROUND(SUM(N94:N99),4)</f>
        <v>7.189</v>
      </c>
      <c r="P94" s="337">
        <v>1161619</v>
      </c>
      <c r="Q94" s="337"/>
      <c r="R94" s="337">
        <v>169255</v>
      </c>
      <c r="S94" s="337">
        <v>140431</v>
      </c>
      <c r="T94" s="337">
        <f>ROUND(ROUND(O94,4)*P94,0)</f>
        <v>8350879</v>
      </c>
      <c r="U94" s="337">
        <f>ROUND(ROUND(O94,4)*Q94,0)</f>
        <v>0</v>
      </c>
      <c r="V94" s="337">
        <f>ROUND(ROUND(O94,4)*R94,0)</f>
        <v>1216774</v>
      </c>
      <c r="W94" s="337">
        <f>ROUND(ROUND(O94,4)*S94,0)</f>
        <v>1009558</v>
      </c>
      <c r="X94" s="339"/>
      <c r="Y94" s="339"/>
      <c r="Z94" s="339"/>
      <c r="AA94" s="325" t="s">
        <v>47</v>
      </c>
      <c r="AB94" s="325" t="s">
        <v>48</v>
      </c>
      <c r="AC94" s="324" t="s">
        <v>158</v>
      </c>
      <c r="AD94" s="324" t="s">
        <v>159</v>
      </c>
      <c r="AE94" s="324" t="s">
        <v>160</v>
      </c>
      <c r="AK94" s="325" t="s">
        <v>51</v>
      </c>
    </row>
    <row r="95" ht="16.5" customHeight="1" spans="1:26">
      <c r="A95" s="326"/>
      <c r="B95" s="327"/>
      <c r="C95" s="327"/>
      <c r="D95" s="330"/>
      <c r="E95" s="332" t="s">
        <v>99</v>
      </c>
      <c r="F95" s="330"/>
      <c r="G95" s="329">
        <v>2</v>
      </c>
      <c r="H95" s="329">
        <v>0.7</v>
      </c>
      <c r="I95" s="329">
        <v>0.8</v>
      </c>
      <c r="J95" s="329">
        <v>0.8</v>
      </c>
      <c r="K95" s="329"/>
      <c r="L95" s="329">
        <f>ROUND(G95*H95,4)</f>
        <v>1.4</v>
      </c>
      <c r="M95" s="329">
        <f>ROUND(G95*H95*I95,4)</f>
        <v>1.12</v>
      </c>
      <c r="N95" s="329">
        <f>ROUND(G95*H95*I95*J95,4)</f>
        <v>0.896</v>
      </c>
      <c r="O95" s="329"/>
      <c r="P95" s="337"/>
      <c r="Q95" s="337"/>
      <c r="R95" s="337"/>
      <c r="S95" s="337"/>
      <c r="T95" s="337"/>
      <c r="U95" s="337"/>
      <c r="V95" s="337"/>
      <c r="W95" s="337"/>
      <c r="X95" s="339"/>
      <c r="Y95" s="339"/>
      <c r="Z95" s="339"/>
    </row>
    <row r="96" ht="16.5" customHeight="1" spans="1:26">
      <c r="A96" s="326"/>
      <c r="B96" s="327"/>
      <c r="C96" s="327"/>
      <c r="D96" s="330"/>
      <c r="E96" s="332" t="s">
        <v>100</v>
      </c>
      <c r="F96" s="330"/>
      <c r="G96" s="329">
        <v>2</v>
      </c>
      <c r="H96" s="329">
        <v>3.18</v>
      </c>
      <c r="I96" s="329">
        <v>0.8</v>
      </c>
      <c r="J96" s="329">
        <v>0.8</v>
      </c>
      <c r="K96" s="329"/>
      <c r="L96" s="329">
        <f>ROUND(G96*H96,4)</f>
        <v>6.36</v>
      </c>
      <c r="M96" s="329">
        <f>ROUND(G96*H96*I96,4)</f>
        <v>5.088</v>
      </c>
      <c r="N96" s="329">
        <f>ROUND(G96*H96*I96*J96,4)</f>
        <v>4.0704</v>
      </c>
      <c r="O96" s="329"/>
      <c r="P96" s="337"/>
      <c r="Q96" s="337"/>
      <c r="R96" s="337"/>
      <c r="S96" s="337"/>
      <c r="T96" s="337"/>
      <c r="U96" s="337"/>
      <c r="V96" s="337"/>
      <c r="W96" s="337"/>
      <c r="X96" s="339"/>
      <c r="Y96" s="339"/>
      <c r="Z96" s="339"/>
    </row>
    <row r="97" ht="16.5" customHeight="1" spans="1:26">
      <c r="A97" s="326"/>
      <c r="B97" s="327"/>
      <c r="C97" s="327"/>
      <c r="D97" s="330"/>
      <c r="E97" s="332" t="s">
        <v>101</v>
      </c>
      <c r="F97" s="330"/>
      <c r="G97" s="329">
        <v>2</v>
      </c>
      <c r="H97" s="329">
        <v>1.6</v>
      </c>
      <c r="I97" s="329">
        <v>0.8</v>
      </c>
      <c r="J97" s="329">
        <v>0.8</v>
      </c>
      <c r="K97" s="329"/>
      <c r="L97" s="329">
        <f>ROUND(G97*H97,4)</f>
        <v>3.2</v>
      </c>
      <c r="M97" s="329">
        <f>ROUND(G97*H97*I97,4)</f>
        <v>2.56</v>
      </c>
      <c r="N97" s="329">
        <f>ROUND(G97*H97*I97*J97,4)</f>
        <v>2.048</v>
      </c>
      <c r="O97" s="329"/>
      <c r="P97" s="337"/>
      <c r="Q97" s="337"/>
      <c r="R97" s="337"/>
      <c r="S97" s="337"/>
      <c r="T97" s="337"/>
      <c r="U97" s="337"/>
      <c r="V97" s="337"/>
      <c r="W97" s="337"/>
      <c r="X97" s="339"/>
      <c r="Y97" s="339"/>
      <c r="Z97" s="339"/>
    </row>
    <row r="98" ht="16.5" customHeight="1" spans="1:26">
      <c r="A98" s="326"/>
      <c r="B98" s="327"/>
      <c r="C98" s="327"/>
      <c r="D98" s="330"/>
      <c r="E98" s="332" t="s">
        <v>64</v>
      </c>
      <c r="F98" s="330"/>
      <c r="G98" s="329">
        <v>-12</v>
      </c>
      <c r="H98" s="329">
        <f>3.14</f>
        <v>3.14</v>
      </c>
      <c r="I98" s="329">
        <f>0.15^2</f>
        <v>0.0225</v>
      </c>
      <c r="J98" s="329">
        <v>0.1</v>
      </c>
      <c r="K98" s="329"/>
      <c r="L98" s="329">
        <f>ROUND(G98*H98,4)</f>
        <v>-37.68</v>
      </c>
      <c r="M98" s="329">
        <f>ROUND(G98*H98*I98,4)</f>
        <v>-0.8478</v>
      </c>
      <c r="N98" s="329">
        <f>ROUND(G98*H98*I98*J98,4)</f>
        <v>-0.0848</v>
      </c>
      <c r="O98" s="329"/>
      <c r="P98" s="337"/>
      <c r="Q98" s="337"/>
      <c r="R98" s="337"/>
      <c r="S98" s="337"/>
      <c r="T98" s="337"/>
      <c r="U98" s="337"/>
      <c r="V98" s="337"/>
      <c r="W98" s="337"/>
      <c r="X98" s="339"/>
      <c r="Y98" s="339"/>
      <c r="Z98" s="339"/>
    </row>
    <row r="99" ht="16.5" customHeight="1" spans="1:26">
      <c r="A99" s="326"/>
      <c r="B99" s="327"/>
      <c r="C99" s="327"/>
      <c r="D99" s="330"/>
      <c r="E99" s="332" t="s">
        <v>161</v>
      </c>
      <c r="F99" s="330"/>
      <c r="G99" s="329">
        <v>12</v>
      </c>
      <c r="H99" s="329">
        <v>3.14</v>
      </c>
      <c r="I99" s="329">
        <f>0.09^2</f>
        <v>0.0081</v>
      </c>
      <c r="J99" s="329">
        <v>0.85</v>
      </c>
      <c r="K99" s="329"/>
      <c r="L99" s="329">
        <f>ROUND(G99*H99,4)</f>
        <v>37.68</v>
      </c>
      <c r="M99" s="329">
        <f>ROUND(G99*H99*I99,4)</f>
        <v>0.3052</v>
      </c>
      <c r="N99" s="329">
        <f>ROUND(G99*H99*I99*J99,4)</f>
        <v>0.2594</v>
      </c>
      <c r="O99" s="329"/>
      <c r="P99" s="337"/>
      <c r="Q99" s="337"/>
      <c r="R99" s="337"/>
      <c r="S99" s="337"/>
      <c r="T99" s="337"/>
      <c r="U99" s="337"/>
      <c r="V99" s="337"/>
      <c r="W99" s="337"/>
      <c r="X99" s="339"/>
      <c r="Y99" s="339"/>
      <c r="Z99" s="339"/>
    </row>
    <row r="100" ht="60.75" customHeight="1" spans="1:37">
      <c r="A100" s="326">
        <v>18</v>
      </c>
      <c r="B100" s="327" t="s">
        <v>155</v>
      </c>
      <c r="C100" s="327" t="s">
        <v>156</v>
      </c>
      <c r="D100" s="330" t="s">
        <v>155</v>
      </c>
      <c r="E100" s="331" t="s">
        <v>162</v>
      </c>
      <c r="F100" s="330" t="s">
        <v>55</v>
      </c>
      <c r="G100" s="329"/>
      <c r="H100" s="329"/>
      <c r="I100" s="329"/>
      <c r="J100" s="329"/>
      <c r="K100" s="329"/>
      <c r="L100" s="329">
        <f>ROUND(SUM(L101:L104),4)</f>
        <v>25.92</v>
      </c>
      <c r="M100" s="329">
        <f>ROUND(SUM(M101:M104),4)</f>
        <v>7.776</v>
      </c>
      <c r="N100" s="329"/>
      <c r="O100" s="329">
        <f>ROUND(SUM(N100:N104),4)</f>
        <v>5.0544</v>
      </c>
      <c r="P100" s="337">
        <v>1161619</v>
      </c>
      <c r="Q100" s="337"/>
      <c r="R100" s="337">
        <v>169255</v>
      </c>
      <c r="S100" s="337">
        <v>140431</v>
      </c>
      <c r="T100" s="337">
        <f>ROUND(ROUND(O100,4)*P100,0)</f>
        <v>5871287</v>
      </c>
      <c r="U100" s="337">
        <f>ROUND(ROUND(O100,4)*Q100,0)</f>
        <v>0</v>
      </c>
      <c r="V100" s="337">
        <f>ROUND(ROUND(O100,4)*R100,0)</f>
        <v>855482</v>
      </c>
      <c r="W100" s="337">
        <f>ROUND(ROUND(O100,4)*S100,0)</f>
        <v>709794</v>
      </c>
      <c r="X100" s="339"/>
      <c r="Y100" s="339"/>
      <c r="Z100" s="339"/>
      <c r="AA100" s="325" t="s">
        <v>47</v>
      </c>
      <c r="AB100" s="325" t="s">
        <v>48</v>
      </c>
      <c r="AC100" s="324" t="s">
        <v>158</v>
      </c>
      <c r="AD100" s="324" t="s">
        <v>159</v>
      </c>
      <c r="AE100" s="324" t="s">
        <v>160</v>
      </c>
      <c r="AK100" s="325" t="s">
        <v>51</v>
      </c>
    </row>
    <row r="101" ht="16.5" customHeight="1" spans="1:26">
      <c r="A101" s="326"/>
      <c r="B101" s="327"/>
      <c r="C101" s="327"/>
      <c r="D101" s="330"/>
      <c r="E101" s="332" t="s">
        <v>102</v>
      </c>
      <c r="F101" s="330"/>
      <c r="G101" s="329">
        <v>2</v>
      </c>
      <c r="H101" s="329">
        <f>H71</f>
        <v>6.96</v>
      </c>
      <c r="I101" s="329">
        <v>0.3</v>
      </c>
      <c r="J101" s="329">
        <v>0.65</v>
      </c>
      <c r="K101" s="329"/>
      <c r="L101" s="329">
        <f>ROUND(G101*H101,4)</f>
        <v>13.92</v>
      </c>
      <c r="M101" s="329">
        <f>ROUND(G101*H101*I101,4)</f>
        <v>4.176</v>
      </c>
      <c r="N101" s="329">
        <f>ROUND(G101*H101*I101*J101,4)</f>
        <v>2.7144</v>
      </c>
      <c r="O101" s="329"/>
      <c r="P101" s="337"/>
      <c r="Q101" s="337"/>
      <c r="R101" s="337"/>
      <c r="S101" s="337"/>
      <c r="T101" s="337"/>
      <c r="U101" s="337"/>
      <c r="V101" s="337"/>
      <c r="W101" s="337"/>
      <c r="X101" s="339"/>
      <c r="Y101" s="339"/>
      <c r="Z101" s="339"/>
    </row>
    <row r="102" ht="16.5" customHeight="1" spans="1:26">
      <c r="A102" s="326"/>
      <c r="B102" s="327"/>
      <c r="C102" s="327"/>
      <c r="D102" s="330"/>
      <c r="E102" s="332" t="s">
        <v>103</v>
      </c>
      <c r="F102" s="330"/>
      <c r="G102" s="329">
        <v>1</v>
      </c>
      <c r="H102" s="329">
        <f>H72</f>
        <v>3.4</v>
      </c>
      <c r="I102" s="329">
        <v>0.3</v>
      </c>
      <c r="J102" s="329">
        <v>0.65</v>
      </c>
      <c r="K102" s="329"/>
      <c r="L102" s="329">
        <f>ROUND(G102*H102,4)</f>
        <v>3.4</v>
      </c>
      <c r="M102" s="329">
        <f>ROUND(G102*H102*I102,4)</f>
        <v>1.02</v>
      </c>
      <c r="N102" s="329">
        <f>ROUND(G102*H102*I102*J102,4)</f>
        <v>0.663</v>
      </c>
      <c r="O102" s="329"/>
      <c r="P102" s="337"/>
      <c r="Q102" s="337"/>
      <c r="R102" s="337"/>
      <c r="S102" s="337"/>
      <c r="T102" s="337"/>
      <c r="U102" s="337"/>
      <c r="V102" s="337"/>
      <c r="W102" s="337"/>
      <c r="X102" s="339"/>
      <c r="Y102" s="339"/>
      <c r="Z102" s="339"/>
    </row>
    <row r="103" ht="16.5" customHeight="1" spans="1:26">
      <c r="A103" s="326"/>
      <c r="B103" s="327"/>
      <c r="C103" s="327"/>
      <c r="D103" s="330"/>
      <c r="E103" s="332"/>
      <c r="F103" s="330"/>
      <c r="G103" s="329">
        <v>1</v>
      </c>
      <c r="H103" s="329">
        <f>H73</f>
        <v>1.8</v>
      </c>
      <c r="I103" s="329">
        <v>0.3</v>
      </c>
      <c r="J103" s="329">
        <v>0.65</v>
      </c>
      <c r="K103" s="329"/>
      <c r="L103" s="329">
        <f>ROUND(G103*H103,4)</f>
        <v>1.8</v>
      </c>
      <c r="M103" s="329">
        <f>ROUND(G103*H103*I103,4)</f>
        <v>0.54</v>
      </c>
      <c r="N103" s="329">
        <f>ROUND(G103*H103*I103*J103,4)</f>
        <v>0.351</v>
      </c>
      <c r="O103" s="329"/>
      <c r="P103" s="337"/>
      <c r="Q103" s="337"/>
      <c r="R103" s="337"/>
      <c r="S103" s="337"/>
      <c r="T103" s="337"/>
      <c r="U103" s="337"/>
      <c r="V103" s="337"/>
      <c r="W103" s="337"/>
      <c r="X103" s="339"/>
      <c r="Y103" s="339"/>
      <c r="Z103" s="339"/>
    </row>
    <row r="104" ht="16.5" customHeight="1" spans="1:26">
      <c r="A104" s="326"/>
      <c r="B104" s="327"/>
      <c r="C104" s="327"/>
      <c r="D104" s="330"/>
      <c r="E104" s="332" t="s">
        <v>104</v>
      </c>
      <c r="F104" s="330"/>
      <c r="G104" s="329">
        <v>2</v>
      </c>
      <c r="H104" s="329">
        <f>H74</f>
        <v>3.4</v>
      </c>
      <c r="I104" s="329">
        <v>0.3</v>
      </c>
      <c r="J104" s="329">
        <v>0.65</v>
      </c>
      <c r="K104" s="329"/>
      <c r="L104" s="329">
        <f>ROUND(G104*H104,4)</f>
        <v>6.8</v>
      </c>
      <c r="M104" s="329">
        <f>ROUND(G104*H104*I104,4)</f>
        <v>2.04</v>
      </c>
      <c r="N104" s="329">
        <f>ROUND(G104*H104*I104*J104,4)</f>
        <v>1.326</v>
      </c>
      <c r="O104" s="329"/>
      <c r="P104" s="337"/>
      <c r="Q104" s="337"/>
      <c r="R104" s="337"/>
      <c r="S104" s="337"/>
      <c r="T104" s="337"/>
      <c r="U104" s="337"/>
      <c r="V104" s="337"/>
      <c r="W104" s="337"/>
      <c r="X104" s="339"/>
      <c r="Y104" s="339"/>
      <c r="Z104" s="339"/>
    </row>
    <row r="105" ht="37.5" customHeight="1" spans="1:37">
      <c r="A105" s="326">
        <v>19</v>
      </c>
      <c r="B105" s="327" t="s">
        <v>163</v>
      </c>
      <c r="C105" s="327" t="s">
        <v>164</v>
      </c>
      <c r="D105" s="330" t="s">
        <v>163</v>
      </c>
      <c r="E105" s="331" t="s">
        <v>165</v>
      </c>
      <c r="F105" s="330" t="s">
        <v>55</v>
      </c>
      <c r="G105" s="329"/>
      <c r="H105" s="329"/>
      <c r="I105" s="329"/>
      <c r="J105" s="329"/>
      <c r="K105" s="329"/>
      <c r="L105" s="329">
        <f>ROUND(SUM(L106:L108),4)</f>
        <v>31.3</v>
      </c>
      <c r="M105" s="329">
        <f>ROUND(SUM(M106:M108),4)</f>
        <v>6.886</v>
      </c>
      <c r="N105" s="329"/>
      <c r="O105" s="329">
        <f>ROUND(SUM(N105:N108),4)</f>
        <v>0.7387</v>
      </c>
      <c r="P105" s="337">
        <v>717515</v>
      </c>
      <c r="Q105" s="337"/>
      <c r="R105" s="337">
        <v>770822</v>
      </c>
      <c r="S105" s="337">
        <v>104965</v>
      </c>
      <c r="T105" s="337">
        <f>ROUND(ROUND(O105,4)*P105,0)</f>
        <v>530028</v>
      </c>
      <c r="U105" s="337">
        <f>ROUND(ROUND(O105,4)*Q105,0)</f>
        <v>0</v>
      </c>
      <c r="V105" s="337">
        <f>ROUND(ROUND(O105,4)*R105,0)</f>
        <v>569406</v>
      </c>
      <c r="W105" s="337">
        <f>ROUND(ROUND(O105,4)*S105,0)</f>
        <v>77538</v>
      </c>
      <c r="X105" s="339"/>
      <c r="Y105" s="339"/>
      <c r="Z105" s="339"/>
      <c r="AA105" s="325" t="s">
        <v>47</v>
      </c>
      <c r="AB105" s="325" t="s">
        <v>48</v>
      </c>
      <c r="AC105" s="324" t="s">
        <v>166</v>
      </c>
      <c r="AD105" s="324" t="s">
        <v>167</v>
      </c>
      <c r="AE105" s="324" t="s">
        <v>168</v>
      </c>
      <c r="AK105" s="325" t="s">
        <v>51</v>
      </c>
    </row>
    <row r="106" ht="16.5" customHeight="1" spans="1:26">
      <c r="A106" s="326"/>
      <c r="B106" s="327"/>
      <c r="C106" s="327"/>
      <c r="D106" s="330"/>
      <c r="E106" s="332" t="s">
        <v>69</v>
      </c>
      <c r="F106" s="330"/>
      <c r="G106" s="329">
        <v>1</v>
      </c>
      <c r="H106" s="329">
        <f>H75</f>
        <v>1.14</v>
      </c>
      <c r="I106" s="329">
        <v>0.22</v>
      </c>
      <c r="J106" s="329">
        <v>0.3</v>
      </c>
      <c r="K106" s="329"/>
      <c r="L106" s="329">
        <f>ROUND(G106*H106,4)</f>
        <v>1.14</v>
      </c>
      <c r="M106" s="329">
        <f>ROUND(G106*H106*I106,4)</f>
        <v>0.2508</v>
      </c>
      <c r="N106" s="329">
        <f>ROUND(G106*H106*I106*J106,4)</f>
        <v>0.0752</v>
      </c>
      <c r="O106" s="329"/>
      <c r="P106" s="337"/>
      <c r="Q106" s="337"/>
      <c r="R106" s="337"/>
      <c r="S106" s="337"/>
      <c r="T106" s="337"/>
      <c r="U106" s="337"/>
      <c r="V106" s="337"/>
      <c r="W106" s="337"/>
      <c r="X106" s="339"/>
      <c r="Y106" s="339"/>
      <c r="Z106" s="339"/>
    </row>
    <row r="107" ht="16.5" customHeight="1" spans="1:26">
      <c r="A107" s="326"/>
      <c r="B107" s="327"/>
      <c r="C107" s="327"/>
      <c r="D107" s="330"/>
      <c r="E107" s="332" t="s">
        <v>131</v>
      </c>
      <c r="F107" s="330"/>
      <c r="G107" s="329">
        <v>1</v>
      </c>
      <c r="H107" s="329">
        <f>H76</f>
        <v>4.56</v>
      </c>
      <c r="I107" s="329">
        <v>0.22</v>
      </c>
      <c r="J107" s="329">
        <v>0.1</v>
      </c>
      <c r="K107" s="329"/>
      <c r="L107" s="329">
        <f>ROUND(G107*H107,4)</f>
        <v>4.56</v>
      </c>
      <c r="M107" s="329">
        <f>ROUND(G107*H107*I107,4)</f>
        <v>1.0032</v>
      </c>
      <c r="N107" s="329">
        <f>ROUND(G107*H107*I107*J107,4)</f>
        <v>0.1003</v>
      </c>
      <c r="O107" s="329"/>
      <c r="P107" s="337"/>
      <c r="Q107" s="337"/>
      <c r="R107" s="337"/>
      <c r="S107" s="337"/>
      <c r="T107" s="337"/>
      <c r="U107" s="337"/>
      <c r="V107" s="337"/>
      <c r="W107" s="337"/>
      <c r="X107" s="339"/>
      <c r="Y107" s="339"/>
      <c r="Z107" s="339"/>
    </row>
    <row r="108" ht="16.5" customHeight="1" spans="1:26">
      <c r="A108" s="326"/>
      <c r="B108" s="327"/>
      <c r="C108" s="327"/>
      <c r="D108" s="330"/>
      <c r="E108" s="332" t="s">
        <v>132</v>
      </c>
      <c r="F108" s="330"/>
      <c r="G108" s="329">
        <v>1</v>
      </c>
      <c r="H108" s="329">
        <f>H77</f>
        <v>25.6</v>
      </c>
      <c r="I108" s="329">
        <v>0.22</v>
      </c>
      <c r="J108" s="329">
        <v>0.1</v>
      </c>
      <c r="K108" s="329"/>
      <c r="L108" s="329">
        <f>ROUND(G108*H108,4)</f>
        <v>25.6</v>
      </c>
      <c r="M108" s="329">
        <f>ROUND(G108*H108*I108,4)</f>
        <v>5.632</v>
      </c>
      <c r="N108" s="329">
        <f>ROUND(G108*H108*I108*J108,4)</f>
        <v>0.5632</v>
      </c>
      <c r="O108" s="329"/>
      <c r="P108" s="337"/>
      <c r="Q108" s="337"/>
      <c r="R108" s="337"/>
      <c r="S108" s="337"/>
      <c r="T108" s="337"/>
      <c r="U108" s="337"/>
      <c r="V108" s="337"/>
      <c r="W108" s="337"/>
      <c r="X108" s="339"/>
      <c r="Y108" s="339"/>
      <c r="Z108" s="339"/>
    </row>
    <row r="109" ht="48.75" customHeight="1" spans="1:37">
      <c r="A109" s="326">
        <v>20</v>
      </c>
      <c r="B109" s="327" t="s">
        <v>169</v>
      </c>
      <c r="C109" s="327"/>
      <c r="D109" s="330" t="s">
        <v>169</v>
      </c>
      <c r="E109" s="331" t="s">
        <v>170</v>
      </c>
      <c r="F109" s="330" t="s">
        <v>107</v>
      </c>
      <c r="G109" s="329"/>
      <c r="H109" s="329"/>
      <c r="I109" s="329"/>
      <c r="J109" s="329"/>
      <c r="K109" s="329"/>
      <c r="L109" s="329">
        <f>ROUND(SUM(L110:L111),4)</f>
        <v>3.52</v>
      </c>
      <c r="M109" s="329">
        <f>ROUND(SUM(M110:M111),4)</f>
        <v>7.04</v>
      </c>
      <c r="N109" s="329"/>
      <c r="O109" s="329">
        <f>ROUND(SUM(N109:N111),4)</f>
        <v>0.0528</v>
      </c>
      <c r="P109" s="337"/>
      <c r="Q109" s="337"/>
      <c r="R109" s="337">
        <v>5267946</v>
      </c>
      <c r="S109" s="337">
        <v>87490</v>
      </c>
      <c r="T109" s="337">
        <f>ROUND(ROUND(O109,4)*P109,0)</f>
        <v>0</v>
      </c>
      <c r="U109" s="337">
        <f>ROUND(ROUND(O109,4)*Q109,0)</f>
        <v>0</v>
      </c>
      <c r="V109" s="337">
        <f>ROUND(ROUND(O109,4)*R109,0)</f>
        <v>278148</v>
      </c>
      <c r="W109" s="337">
        <f>ROUND(ROUND(O109,4)*S109,0)</f>
        <v>4619</v>
      </c>
      <c r="X109" s="339"/>
      <c r="Y109" s="339"/>
      <c r="Z109" s="339"/>
      <c r="AA109" s="325" t="s">
        <v>47</v>
      </c>
      <c r="AB109" s="325" t="s">
        <v>48</v>
      </c>
      <c r="AC109" s="324" t="s">
        <v>171</v>
      </c>
      <c r="AD109" s="324" t="s">
        <v>172</v>
      </c>
      <c r="AE109" s="324" t="s">
        <v>173</v>
      </c>
      <c r="AK109" s="325" t="s">
        <v>51</v>
      </c>
    </row>
    <row r="110" ht="16.5" customHeight="1" spans="1:26">
      <c r="A110" s="326"/>
      <c r="B110" s="327"/>
      <c r="C110" s="327"/>
      <c r="D110" s="330"/>
      <c r="E110" s="332" t="s">
        <v>174</v>
      </c>
      <c r="F110" s="330"/>
      <c r="G110" s="329">
        <v>1</v>
      </c>
      <c r="H110" s="329">
        <v>0.44</v>
      </c>
      <c r="I110" s="329">
        <v>2</v>
      </c>
      <c r="J110" s="329">
        <v>0.75</v>
      </c>
      <c r="K110" s="329">
        <v>0.01</v>
      </c>
      <c r="L110" s="329">
        <f>ROUND(G110*H110,4)</f>
        <v>0.44</v>
      </c>
      <c r="M110" s="329">
        <f>ROUND(G110*H110*I110,4)</f>
        <v>0.88</v>
      </c>
      <c r="N110" s="329">
        <f>ROUND(G110*H110*I110*J110*K110,4)</f>
        <v>0.0066</v>
      </c>
      <c r="O110" s="329"/>
      <c r="P110" s="337"/>
      <c r="Q110" s="337"/>
      <c r="R110" s="337"/>
      <c r="S110" s="337"/>
      <c r="T110" s="337"/>
      <c r="U110" s="337"/>
      <c r="V110" s="337"/>
      <c r="W110" s="337"/>
      <c r="X110" s="339"/>
      <c r="Y110" s="339"/>
      <c r="Z110" s="339"/>
    </row>
    <row r="111" ht="16.5" customHeight="1" spans="1:26">
      <c r="A111" s="326"/>
      <c r="B111" s="327"/>
      <c r="C111" s="327"/>
      <c r="D111" s="330"/>
      <c r="E111" s="332" t="s">
        <v>175</v>
      </c>
      <c r="F111" s="330"/>
      <c r="G111" s="329">
        <v>7</v>
      </c>
      <c r="H111" s="329">
        <v>0.44</v>
      </c>
      <c r="I111" s="329">
        <v>2</v>
      </c>
      <c r="J111" s="329">
        <v>0.75</v>
      </c>
      <c r="K111" s="329">
        <v>0.01</v>
      </c>
      <c r="L111" s="329">
        <f>ROUND(G111*H111,4)</f>
        <v>3.08</v>
      </c>
      <c r="M111" s="329">
        <f>ROUND(G111*H111*I111,4)</f>
        <v>6.16</v>
      </c>
      <c r="N111" s="329">
        <f>ROUND(G111*H111*I111*J111*K111,4)</f>
        <v>0.0462</v>
      </c>
      <c r="O111" s="329"/>
      <c r="P111" s="337"/>
      <c r="Q111" s="337"/>
      <c r="R111" s="337"/>
      <c r="S111" s="337"/>
      <c r="T111" s="337"/>
      <c r="U111" s="337"/>
      <c r="V111" s="337"/>
      <c r="W111" s="337"/>
      <c r="X111" s="339"/>
      <c r="Y111" s="339"/>
      <c r="Z111" s="339"/>
    </row>
    <row r="112" ht="48.75" customHeight="1" spans="1:37">
      <c r="A112" s="326">
        <v>21</v>
      </c>
      <c r="B112" s="327" t="s">
        <v>176</v>
      </c>
      <c r="C112" s="327"/>
      <c r="D112" s="330" t="s">
        <v>176</v>
      </c>
      <c r="E112" s="331" t="s">
        <v>177</v>
      </c>
      <c r="F112" s="330" t="s">
        <v>114</v>
      </c>
      <c r="G112" s="329"/>
      <c r="H112" s="329"/>
      <c r="I112" s="329"/>
      <c r="J112" s="329"/>
      <c r="K112" s="329"/>
      <c r="L112" s="329"/>
      <c r="M112" s="329"/>
      <c r="N112" s="329"/>
      <c r="O112" s="329">
        <f>ROUND(SUM(N112:N114),4)</f>
        <v>0.0248</v>
      </c>
      <c r="P112" s="337">
        <v>16497030</v>
      </c>
      <c r="Q112" s="337"/>
      <c r="R112" s="337">
        <v>3221862</v>
      </c>
      <c r="S112" s="337">
        <v>94725</v>
      </c>
      <c r="T112" s="337">
        <f>ROUND(ROUND(O112,4)*P112,0)</f>
        <v>409126</v>
      </c>
      <c r="U112" s="337">
        <f>ROUND(ROUND(O112,4)*Q112,0)</f>
        <v>0</v>
      </c>
      <c r="V112" s="337">
        <f>ROUND(ROUND(O112,4)*R112,0)</f>
        <v>79902</v>
      </c>
      <c r="W112" s="337">
        <f>ROUND(ROUND(O112,4)*S112,0)</f>
        <v>2349</v>
      </c>
      <c r="X112" s="339"/>
      <c r="Y112" s="339"/>
      <c r="Z112" s="339"/>
      <c r="AA112" s="325" t="s">
        <v>47</v>
      </c>
      <c r="AB112" s="325" t="s">
        <v>48</v>
      </c>
      <c r="AC112" s="324" t="s">
        <v>115</v>
      </c>
      <c r="AD112" s="324" t="s">
        <v>178</v>
      </c>
      <c r="AE112" s="324" t="s">
        <v>117</v>
      </c>
      <c r="AK112" s="325" t="s">
        <v>51</v>
      </c>
    </row>
    <row r="113" ht="16.5" customHeight="1" spans="1:26">
      <c r="A113" s="326"/>
      <c r="B113" s="327"/>
      <c r="C113" s="327"/>
      <c r="D113" s="330"/>
      <c r="E113" s="332" t="s">
        <v>179</v>
      </c>
      <c r="F113" s="330"/>
      <c r="G113" s="329"/>
      <c r="H113" s="329"/>
      <c r="I113" s="329"/>
      <c r="J113" s="329"/>
      <c r="K113" s="329"/>
      <c r="L113" s="329"/>
      <c r="M113" s="329"/>
      <c r="N113" s="329">
        <v>0.0031</v>
      </c>
      <c r="O113" s="329"/>
      <c r="P113" s="337"/>
      <c r="Q113" s="337"/>
      <c r="R113" s="337"/>
      <c r="S113" s="337"/>
      <c r="T113" s="337"/>
      <c r="U113" s="337"/>
      <c r="V113" s="337"/>
      <c r="W113" s="337"/>
      <c r="X113" s="339"/>
      <c r="Y113" s="339"/>
      <c r="Z113" s="339"/>
    </row>
    <row r="114" ht="16.5" customHeight="1" spans="1:26">
      <c r="A114" s="326"/>
      <c r="B114" s="327"/>
      <c r="C114" s="327"/>
      <c r="D114" s="330"/>
      <c r="E114" s="332" t="s">
        <v>180</v>
      </c>
      <c r="F114" s="330"/>
      <c r="G114" s="329"/>
      <c r="H114" s="329"/>
      <c r="I114" s="329"/>
      <c r="J114" s="329"/>
      <c r="K114" s="329"/>
      <c r="L114" s="329"/>
      <c r="M114" s="329"/>
      <c r="N114" s="329">
        <v>0.0217</v>
      </c>
      <c r="O114" s="329"/>
      <c r="P114" s="337"/>
      <c r="Q114" s="337"/>
      <c r="R114" s="337"/>
      <c r="S114" s="337"/>
      <c r="T114" s="337"/>
      <c r="U114" s="337"/>
      <c r="V114" s="337"/>
      <c r="W114" s="337"/>
      <c r="X114" s="339"/>
      <c r="Y114" s="339"/>
      <c r="Z114" s="339"/>
    </row>
    <row r="115" ht="48.75" customHeight="1" spans="1:37">
      <c r="A115" s="326">
        <v>22</v>
      </c>
      <c r="B115" s="327" t="s">
        <v>181</v>
      </c>
      <c r="C115" s="327"/>
      <c r="D115" s="330" t="s">
        <v>181</v>
      </c>
      <c r="E115" s="331" t="s">
        <v>182</v>
      </c>
      <c r="F115" s="330" t="s">
        <v>114</v>
      </c>
      <c r="G115" s="329"/>
      <c r="H115" s="329"/>
      <c r="I115" s="329"/>
      <c r="J115" s="329"/>
      <c r="K115" s="329"/>
      <c r="L115" s="329"/>
      <c r="M115" s="329"/>
      <c r="N115" s="329"/>
      <c r="O115" s="329">
        <f>ROUND(SUM(N115:N116),4)</f>
        <v>0.0184</v>
      </c>
      <c r="P115" s="337">
        <v>16393332</v>
      </c>
      <c r="Q115" s="337"/>
      <c r="R115" s="337">
        <v>2169560</v>
      </c>
      <c r="S115" s="337">
        <v>456747</v>
      </c>
      <c r="T115" s="337">
        <f>ROUND(ROUND(O115,4)*P115,0)</f>
        <v>301637</v>
      </c>
      <c r="U115" s="337">
        <f>ROUND(ROUND(O115,4)*Q115,0)</f>
        <v>0</v>
      </c>
      <c r="V115" s="337">
        <f>ROUND(ROUND(O115,4)*R115,0)</f>
        <v>39920</v>
      </c>
      <c r="W115" s="337">
        <f>ROUND(ROUND(O115,4)*S115,0)</f>
        <v>8404</v>
      </c>
      <c r="X115" s="339"/>
      <c r="Y115" s="339"/>
      <c r="Z115" s="339"/>
      <c r="AA115" s="325" t="s">
        <v>47</v>
      </c>
      <c r="AB115" s="325" t="s">
        <v>48</v>
      </c>
      <c r="AC115" s="324" t="s">
        <v>183</v>
      </c>
      <c r="AD115" s="324" t="s">
        <v>184</v>
      </c>
      <c r="AE115" s="324" t="s">
        <v>185</v>
      </c>
      <c r="AK115" s="325" t="s">
        <v>51</v>
      </c>
    </row>
    <row r="116" ht="16.5" customHeight="1" spans="1:26">
      <c r="A116" s="326"/>
      <c r="B116" s="327"/>
      <c r="C116" s="327"/>
      <c r="D116" s="330"/>
      <c r="E116" s="332" t="s">
        <v>186</v>
      </c>
      <c r="F116" s="330"/>
      <c r="G116" s="329"/>
      <c r="H116" s="329"/>
      <c r="I116" s="329"/>
      <c r="J116" s="329"/>
      <c r="K116" s="329"/>
      <c r="L116" s="329"/>
      <c r="M116" s="329"/>
      <c r="N116" s="329">
        <v>0.0184</v>
      </c>
      <c r="O116" s="329"/>
      <c r="P116" s="337"/>
      <c r="Q116" s="337"/>
      <c r="R116" s="337"/>
      <c r="S116" s="337"/>
      <c r="T116" s="337"/>
      <c r="U116" s="337"/>
      <c r="V116" s="337"/>
      <c r="W116" s="337"/>
      <c r="X116" s="339"/>
      <c r="Y116" s="339"/>
      <c r="Z116" s="339"/>
    </row>
    <row r="117" ht="48.75" customHeight="1" spans="1:37">
      <c r="A117" s="326">
        <v>23</v>
      </c>
      <c r="B117" s="327" t="s">
        <v>187</v>
      </c>
      <c r="C117" s="327"/>
      <c r="D117" s="330" t="s">
        <v>187</v>
      </c>
      <c r="E117" s="331" t="s">
        <v>188</v>
      </c>
      <c r="F117" s="330" t="s">
        <v>114</v>
      </c>
      <c r="G117" s="329"/>
      <c r="H117" s="329"/>
      <c r="I117" s="329"/>
      <c r="J117" s="329"/>
      <c r="K117" s="329"/>
      <c r="L117" s="329"/>
      <c r="M117" s="329"/>
      <c r="N117" s="329"/>
      <c r="O117" s="329">
        <f>ROUND(SUM(N117:N118),4)</f>
        <v>0.1589</v>
      </c>
      <c r="P117" s="337">
        <v>16419000</v>
      </c>
      <c r="Q117" s="337"/>
      <c r="R117" s="337">
        <v>1836115</v>
      </c>
      <c r="S117" s="337">
        <v>527236</v>
      </c>
      <c r="T117" s="337">
        <f>ROUND(ROUND(O117,4)*P117,0)</f>
        <v>2608979</v>
      </c>
      <c r="U117" s="337">
        <f>ROUND(ROUND(O117,4)*Q117,0)</f>
        <v>0</v>
      </c>
      <c r="V117" s="337">
        <f>ROUND(ROUND(O117,4)*R117,0)</f>
        <v>291759</v>
      </c>
      <c r="W117" s="337">
        <f>ROUND(ROUND(O117,4)*S117,0)</f>
        <v>83778</v>
      </c>
      <c r="X117" s="339"/>
      <c r="Y117" s="339"/>
      <c r="Z117" s="339"/>
      <c r="AA117" s="325" t="s">
        <v>47</v>
      </c>
      <c r="AB117" s="325" t="s">
        <v>48</v>
      </c>
      <c r="AC117" s="324" t="s">
        <v>189</v>
      </c>
      <c r="AD117" s="324" t="s">
        <v>190</v>
      </c>
      <c r="AE117" s="324" t="s">
        <v>191</v>
      </c>
      <c r="AK117" s="325" t="s">
        <v>51</v>
      </c>
    </row>
    <row r="118" ht="16.5" customHeight="1" spans="1:26">
      <c r="A118" s="326"/>
      <c r="B118" s="327"/>
      <c r="C118" s="327"/>
      <c r="D118" s="330"/>
      <c r="E118" s="332" t="s">
        <v>192</v>
      </c>
      <c r="F118" s="330"/>
      <c r="G118" s="329"/>
      <c r="H118" s="329"/>
      <c r="I118" s="329"/>
      <c r="J118" s="329"/>
      <c r="K118" s="329"/>
      <c r="L118" s="329"/>
      <c r="M118" s="329"/>
      <c r="N118" s="329">
        <v>0.1589</v>
      </c>
      <c r="O118" s="329"/>
      <c r="P118" s="337"/>
      <c r="Q118" s="337"/>
      <c r="R118" s="337"/>
      <c r="S118" s="337"/>
      <c r="T118" s="337"/>
      <c r="U118" s="337"/>
      <c r="V118" s="337"/>
      <c r="W118" s="337"/>
      <c r="X118" s="339"/>
      <c r="Y118" s="339"/>
      <c r="Z118" s="339"/>
    </row>
    <row r="119" ht="37.5" customHeight="1" spans="1:37">
      <c r="A119" s="326">
        <v>24</v>
      </c>
      <c r="B119" s="327" t="s">
        <v>193</v>
      </c>
      <c r="C119" s="327" t="s">
        <v>164</v>
      </c>
      <c r="D119" s="330" t="s">
        <v>193</v>
      </c>
      <c r="E119" s="331" t="s">
        <v>194</v>
      </c>
      <c r="F119" s="330" t="s">
        <v>55</v>
      </c>
      <c r="G119" s="329"/>
      <c r="H119" s="329"/>
      <c r="I119" s="329"/>
      <c r="J119" s="329"/>
      <c r="K119" s="329"/>
      <c r="L119" s="329">
        <f>ROUND(SUM(L120:L121),4)</f>
        <v>1.76</v>
      </c>
      <c r="M119" s="329">
        <f>ROUND(SUM(M120:M121),4)</f>
        <v>0.3872</v>
      </c>
      <c r="N119" s="329"/>
      <c r="O119" s="329">
        <f>ROUND(SUM(N119:N121),4)</f>
        <v>0.2904</v>
      </c>
      <c r="P119" s="337">
        <v>759902</v>
      </c>
      <c r="Q119" s="337"/>
      <c r="R119" s="337">
        <v>974354</v>
      </c>
      <c r="S119" s="337">
        <v>67224</v>
      </c>
      <c r="T119" s="337">
        <f>ROUND(ROUND(O119,4)*P119,0)</f>
        <v>220676</v>
      </c>
      <c r="U119" s="337">
        <f>ROUND(ROUND(O119,4)*Q119,0)</f>
        <v>0</v>
      </c>
      <c r="V119" s="337">
        <f>ROUND(ROUND(O119,4)*R119,0)</f>
        <v>282952</v>
      </c>
      <c r="W119" s="337">
        <f>ROUND(ROUND(O119,4)*S119,0)</f>
        <v>19522</v>
      </c>
      <c r="X119" s="339"/>
      <c r="Y119" s="339"/>
      <c r="Z119" s="339"/>
      <c r="AA119" s="325" t="s">
        <v>47</v>
      </c>
      <c r="AB119" s="325" t="s">
        <v>48</v>
      </c>
      <c r="AC119" s="324" t="s">
        <v>195</v>
      </c>
      <c r="AD119" s="324" t="s">
        <v>196</v>
      </c>
      <c r="AE119" s="324" t="s">
        <v>197</v>
      </c>
      <c r="AK119" s="325" t="s">
        <v>51</v>
      </c>
    </row>
    <row r="120" ht="16.5" customHeight="1" spans="1:26">
      <c r="A120" s="326"/>
      <c r="B120" s="327"/>
      <c r="C120" s="327"/>
      <c r="D120" s="330"/>
      <c r="E120" s="332" t="s">
        <v>174</v>
      </c>
      <c r="F120" s="330"/>
      <c r="G120" s="329">
        <v>1</v>
      </c>
      <c r="H120" s="329">
        <v>0.22</v>
      </c>
      <c r="I120" s="329">
        <v>0.22</v>
      </c>
      <c r="J120" s="329">
        <v>0.75</v>
      </c>
      <c r="K120" s="329"/>
      <c r="L120" s="329">
        <f>ROUND(G120*H120,4)</f>
        <v>0.22</v>
      </c>
      <c r="M120" s="329">
        <f>ROUND(G120*H120*I120,4)</f>
        <v>0.0484</v>
      </c>
      <c r="N120" s="329">
        <f>ROUND(G120*H120*I120*J120,4)</f>
        <v>0.0363</v>
      </c>
      <c r="O120" s="329"/>
      <c r="P120" s="337"/>
      <c r="Q120" s="337"/>
      <c r="R120" s="337"/>
      <c r="S120" s="337"/>
      <c r="T120" s="337"/>
      <c r="U120" s="337"/>
      <c r="V120" s="337"/>
      <c r="W120" s="337"/>
      <c r="X120" s="339"/>
      <c r="Y120" s="339"/>
      <c r="Z120" s="339"/>
    </row>
    <row r="121" ht="16.5" customHeight="1" spans="1:26">
      <c r="A121" s="326"/>
      <c r="B121" s="327"/>
      <c r="C121" s="327"/>
      <c r="D121" s="330"/>
      <c r="E121" s="332" t="s">
        <v>175</v>
      </c>
      <c r="F121" s="330"/>
      <c r="G121" s="329">
        <v>7</v>
      </c>
      <c r="H121" s="329">
        <v>0.22</v>
      </c>
      <c r="I121" s="329">
        <v>0.22</v>
      </c>
      <c r="J121" s="329">
        <v>0.75</v>
      </c>
      <c r="K121" s="329"/>
      <c r="L121" s="329">
        <f>ROUND(G121*H121,4)</f>
        <v>1.54</v>
      </c>
      <c r="M121" s="329">
        <f>ROUND(G121*H121*I121,4)</f>
        <v>0.3388</v>
      </c>
      <c r="N121" s="329">
        <f>ROUND(G121*H121*I121*J121,4)</f>
        <v>0.2541</v>
      </c>
      <c r="O121" s="329"/>
      <c r="P121" s="337"/>
      <c r="Q121" s="337"/>
      <c r="R121" s="337"/>
      <c r="S121" s="337"/>
      <c r="T121" s="337"/>
      <c r="U121" s="337"/>
      <c r="V121" s="337"/>
      <c r="W121" s="337"/>
      <c r="X121" s="339"/>
      <c r="Y121" s="339"/>
      <c r="Z121" s="339"/>
    </row>
    <row r="122" ht="26.25" customHeight="1" spans="1:37">
      <c r="A122" s="326">
        <v>25</v>
      </c>
      <c r="B122" s="327" t="s">
        <v>198</v>
      </c>
      <c r="C122" s="327" t="s">
        <v>199</v>
      </c>
      <c r="D122" s="330" t="s">
        <v>198</v>
      </c>
      <c r="E122" s="331" t="s">
        <v>200</v>
      </c>
      <c r="F122" s="330" t="s">
        <v>55</v>
      </c>
      <c r="G122" s="329"/>
      <c r="H122" s="329"/>
      <c r="I122" s="329"/>
      <c r="J122" s="329"/>
      <c r="K122" s="329"/>
      <c r="L122" s="329">
        <f>ROUND(SUM(L123:L123),4)</f>
        <v>1.14</v>
      </c>
      <c r="M122" s="329">
        <f>ROUND(SUM(M123:M123),4)</f>
        <v>0.5016</v>
      </c>
      <c r="N122" s="329"/>
      <c r="O122" s="329">
        <f>ROUND(SUM(N122:N123),4)</f>
        <v>0.0702</v>
      </c>
      <c r="P122" s="337">
        <v>828873</v>
      </c>
      <c r="Q122" s="337"/>
      <c r="R122" s="337">
        <v>322619</v>
      </c>
      <c r="S122" s="337"/>
      <c r="T122" s="337">
        <f>ROUND(ROUND(O122,4)*P122,0)</f>
        <v>58187</v>
      </c>
      <c r="U122" s="337">
        <f>ROUND(ROUND(O122,4)*Q122,0)</f>
        <v>0</v>
      </c>
      <c r="V122" s="337">
        <f>ROUND(ROUND(O122,4)*R122,0)</f>
        <v>22648</v>
      </c>
      <c r="W122" s="337">
        <f>ROUND(ROUND(O122,4)*S122,0)</f>
        <v>0</v>
      </c>
      <c r="X122" s="339"/>
      <c r="Y122" s="339"/>
      <c r="Z122" s="339"/>
      <c r="AA122" s="325" t="s">
        <v>47</v>
      </c>
      <c r="AB122" s="325" t="s">
        <v>48</v>
      </c>
      <c r="AC122" s="324" t="s">
        <v>201</v>
      </c>
      <c r="AD122" s="324" t="s">
        <v>202</v>
      </c>
      <c r="AK122" s="325" t="s">
        <v>51</v>
      </c>
    </row>
    <row r="123" ht="16.5" customHeight="1" spans="1:26">
      <c r="A123" s="326"/>
      <c r="B123" s="327"/>
      <c r="C123" s="327"/>
      <c r="D123" s="330"/>
      <c r="E123" s="332" t="s">
        <v>69</v>
      </c>
      <c r="F123" s="330"/>
      <c r="G123" s="329">
        <v>1</v>
      </c>
      <c r="H123" s="329">
        <v>1.14</v>
      </c>
      <c r="I123" s="329">
        <v>0.44</v>
      </c>
      <c r="J123" s="329">
        <v>0.14</v>
      </c>
      <c r="K123" s="329"/>
      <c r="L123" s="329">
        <f>ROUND(G123*H123,4)</f>
        <v>1.14</v>
      </c>
      <c r="M123" s="329">
        <f>ROUND(G123*H123*I123,4)</f>
        <v>0.5016</v>
      </c>
      <c r="N123" s="329">
        <f>ROUND(G123*H123*I123*J123,4)</f>
        <v>0.0702</v>
      </c>
      <c r="O123" s="329"/>
      <c r="P123" s="337"/>
      <c r="Q123" s="337"/>
      <c r="R123" s="337"/>
      <c r="S123" s="337"/>
      <c r="T123" s="337"/>
      <c r="U123" s="337"/>
      <c r="V123" s="337"/>
      <c r="W123" s="337"/>
      <c r="X123" s="339"/>
      <c r="Y123" s="339"/>
      <c r="Z123" s="339"/>
    </row>
    <row r="124" ht="26.25" customHeight="1" spans="1:37">
      <c r="A124" s="326">
        <v>26</v>
      </c>
      <c r="B124" s="327" t="s">
        <v>203</v>
      </c>
      <c r="C124" s="327" t="s">
        <v>199</v>
      </c>
      <c r="D124" s="330" t="s">
        <v>203</v>
      </c>
      <c r="E124" s="331" t="s">
        <v>204</v>
      </c>
      <c r="F124" s="330" t="s">
        <v>55</v>
      </c>
      <c r="G124" s="329"/>
      <c r="H124" s="329"/>
      <c r="I124" s="329"/>
      <c r="J124" s="329"/>
      <c r="K124" s="329"/>
      <c r="L124" s="329">
        <f>ROUND(SUM(L125:L128),4)</f>
        <v>31.3</v>
      </c>
      <c r="M124" s="329">
        <f>ROUND(SUM(M125:M128),4)</f>
        <v>7.0114</v>
      </c>
      <c r="N124" s="329"/>
      <c r="O124" s="329">
        <f>ROUND(SUM(N124:N128),4)</f>
        <v>4.2414</v>
      </c>
      <c r="P124" s="337">
        <v>839306</v>
      </c>
      <c r="Q124" s="337"/>
      <c r="R124" s="337">
        <v>361593</v>
      </c>
      <c r="S124" s="337"/>
      <c r="T124" s="337">
        <f>ROUND(ROUND(O124,4)*P124,0)</f>
        <v>3559832</v>
      </c>
      <c r="U124" s="337">
        <f>ROUND(ROUND(O124,4)*Q124,0)</f>
        <v>0</v>
      </c>
      <c r="V124" s="337">
        <f>ROUND(ROUND(O124,4)*R124,0)</f>
        <v>1533661</v>
      </c>
      <c r="W124" s="337">
        <f>ROUND(ROUND(O124,4)*S124,0)</f>
        <v>0</v>
      </c>
      <c r="X124" s="339"/>
      <c r="Y124" s="339"/>
      <c r="Z124" s="339"/>
      <c r="AA124" s="325" t="s">
        <v>47</v>
      </c>
      <c r="AB124" s="325" t="s">
        <v>48</v>
      </c>
      <c r="AC124" s="324" t="s">
        <v>205</v>
      </c>
      <c r="AD124" s="324" t="s">
        <v>206</v>
      </c>
      <c r="AK124" s="325" t="s">
        <v>51</v>
      </c>
    </row>
    <row r="125" ht="16.5" customHeight="1" spans="1:26">
      <c r="A125" s="326"/>
      <c r="B125" s="327"/>
      <c r="C125" s="327"/>
      <c r="D125" s="330"/>
      <c r="E125" s="332" t="s">
        <v>67</v>
      </c>
      <c r="F125" s="330"/>
      <c r="G125" s="329">
        <v>1</v>
      </c>
      <c r="H125" s="329">
        <f>H107</f>
        <v>4.56</v>
      </c>
      <c r="I125" s="329">
        <v>0.22</v>
      </c>
      <c r="J125" s="329">
        <v>0.5</v>
      </c>
      <c r="K125" s="329"/>
      <c r="L125" s="329">
        <f>ROUND(G125*H125,4)</f>
        <v>4.56</v>
      </c>
      <c r="M125" s="329">
        <f>ROUND(G125*H125*I125,4)</f>
        <v>1.0032</v>
      </c>
      <c r="N125" s="329">
        <f>ROUND(G125*H125*I125*J125,4)</f>
        <v>0.5016</v>
      </c>
      <c r="O125" s="329"/>
      <c r="P125" s="337"/>
      <c r="Q125" s="337"/>
      <c r="R125" s="337"/>
      <c r="S125" s="337"/>
      <c r="T125" s="337"/>
      <c r="U125" s="337"/>
      <c r="V125" s="337"/>
      <c r="W125" s="337"/>
      <c r="X125" s="339"/>
      <c r="Y125" s="339"/>
      <c r="Z125" s="339"/>
    </row>
    <row r="126" ht="16.5" customHeight="1" spans="1:26">
      <c r="A126" s="326"/>
      <c r="B126" s="327"/>
      <c r="C126" s="327"/>
      <c r="D126" s="330"/>
      <c r="E126" s="332" t="s">
        <v>68</v>
      </c>
      <c r="F126" s="330"/>
      <c r="G126" s="329">
        <v>1</v>
      </c>
      <c r="H126" s="329">
        <f>H108</f>
        <v>25.6</v>
      </c>
      <c r="I126" s="329">
        <v>0.22</v>
      </c>
      <c r="J126" s="329">
        <v>0.65</v>
      </c>
      <c r="K126" s="329"/>
      <c r="L126" s="329">
        <f>ROUND(G126*H126,4)</f>
        <v>25.6</v>
      </c>
      <c r="M126" s="329">
        <f>ROUND(G126*H126*I126,4)</f>
        <v>5.632</v>
      </c>
      <c r="N126" s="329">
        <f>ROUND(G126*H126*I126*J126,4)</f>
        <v>3.6608</v>
      </c>
      <c r="O126" s="329"/>
      <c r="P126" s="337"/>
      <c r="Q126" s="337"/>
      <c r="R126" s="337"/>
      <c r="S126" s="337"/>
      <c r="T126" s="337"/>
      <c r="U126" s="337"/>
      <c r="V126" s="337"/>
      <c r="W126" s="337"/>
      <c r="X126" s="339"/>
      <c r="Y126" s="339"/>
      <c r="Z126" s="339"/>
    </row>
    <row r="127" ht="16.5" customHeight="1" spans="1:26">
      <c r="A127" s="326"/>
      <c r="B127" s="327"/>
      <c r="C127" s="327"/>
      <c r="D127" s="330"/>
      <c r="E127" s="332" t="s">
        <v>69</v>
      </c>
      <c r="F127" s="330"/>
      <c r="G127" s="329">
        <v>1</v>
      </c>
      <c r="H127" s="329">
        <v>1.14</v>
      </c>
      <c r="I127" s="329">
        <v>0.33</v>
      </c>
      <c r="J127" s="329">
        <v>0.21</v>
      </c>
      <c r="K127" s="329"/>
      <c r="L127" s="329">
        <f>ROUND(G127*H127,4)</f>
        <v>1.14</v>
      </c>
      <c r="M127" s="329">
        <f>ROUND(G127*H127*I127,4)</f>
        <v>0.3762</v>
      </c>
      <c r="N127" s="329">
        <f>ROUND(G127*H127*I127*J127,4)</f>
        <v>0.079</v>
      </c>
      <c r="O127" s="329"/>
      <c r="P127" s="337"/>
      <c r="Q127" s="337"/>
      <c r="R127" s="337"/>
      <c r="S127" s="337"/>
      <c r="T127" s="337"/>
      <c r="U127" s="337"/>
      <c r="V127" s="337"/>
      <c r="W127" s="337"/>
      <c r="X127" s="339"/>
      <c r="Y127" s="339"/>
      <c r="Z127" s="339"/>
    </row>
    <row r="128" ht="16.5" customHeight="1" spans="1:26">
      <c r="A128" s="326"/>
      <c r="B128" s="327"/>
      <c r="C128" s="327"/>
      <c r="D128" s="330"/>
      <c r="E128" s="332"/>
      <c r="F128" s="330"/>
      <c r="G128" s="329"/>
      <c r="H128" s="329"/>
      <c r="I128" s="329"/>
      <c r="J128" s="329"/>
      <c r="K128" s="329"/>
      <c r="L128" s="329"/>
      <c r="M128" s="329"/>
      <c r="N128" s="329"/>
      <c r="O128" s="329"/>
      <c r="P128" s="337"/>
      <c r="Q128" s="337"/>
      <c r="R128" s="337"/>
      <c r="S128" s="337"/>
      <c r="T128" s="337"/>
      <c r="U128" s="337"/>
      <c r="V128" s="337"/>
      <c r="W128" s="337"/>
      <c r="X128" s="339"/>
      <c r="Y128" s="339"/>
      <c r="Z128" s="339"/>
    </row>
    <row r="129" ht="27.75" customHeight="1" spans="1:26">
      <c r="A129" s="346"/>
      <c r="B129" s="347"/>
      <c r="C129" s="347"/>
      <c r="D129" s="348" t="s">
        <v>207</v>
      </c>
      <c r="E129" s="348" t="s">
        <v>208</v>
      </c>
      <c r="F129" s="348"/>
      <c r="G129" s="349"/>
      <c r="H129" s="349"/>
      <c r="I129" s="349"/>
      <c r="J129" s="349"/>
      <c r="K129" s="349"/>
      <c r="L129" s="349"/>
      <c r="M129" s="349"/>
      <c r="N129" s="349"/>
      <c r="O129" s="350"/>
      <c r="P129" s="350"/>
      <c r="Q129" s="351"/>
      <c r="R129" s="350"/>
      <c r="S129" s="350"/>
      <c r="T129" s="350">
        <f>ROUND(SUM(T7:T128),0)</f>
        <v>49584451</v>
      </c>
      <c r="U129" s="351">
        <f>ROUND(SUM(U7:U128),0)</f>
        <v>0</v>
      </c>
      <c r="V129" s="350">
        <f>ROUND(SUM(V7:V128),0)</f>
        <v>14930837</v>
      </c>
      <c r="W129" s="350">
        <f>ROUND(SUM(W7:W128),0)</f>
        <v>5151579</v>
      </c>
      <c r="X129" s="350"/>
      <c r="Y129" s="350"/>
      <c r="Z129" s="350"/>
    </row>
    <row r="130" ht="27.75" customHeight="1" spans="1:26">
      <c r="A130" s="326"/>
      <c r="B130" s="327"/>
      <c r="C130" s="327"/>
      <c r="D130" s="328" t="s">
        <v>42</v>
      </c>
      <c r="E130" s="328" t="s">
        <v>209</v>
      </c>
      <c r="F130" s="328"/>
      <c r="G130" s="329"/>
      <c r="H130" s="329"/>
      <c r="I130" s="329"/>
      <c r="J130" s="329"/>
      <c r="K130" s="329"/>
      <c r="L130" s="329"/>
      <c r="M130" s="329"/>
      <c r="N130" s="329"/>
      <c r="O130" s="336"/>
      <c r="P130" s="336"/>
      <c r="Q130" s="337"/>
      <c r="R130" s="336"/>
      <c r="S130" s="336"/>
      <c r="T130" s="336"/>
      <c r="U130" s="337"/>
      <c r="V130" s="336"/>
      <c r="W130" s="336"/>
      <c r="X130" s="336"/>
      <c r="Y130" s="336"/>
      <c r="Z130" s="336"/>
    </row>
    <row r="131" customHeight="1" spans="1:26">
      <c r="A131" s="326"/>
      <c r="B131" s="327"/>
      <c r="C131" s="327"/>
      <c r="D131" s="330"/>
      <c r="E131" s="331" t="s">
        <v>210</v>
      </c>
      <c r="F131" s="330"/>
      <c r="G131" s="329"/>
      <c r="H131" s="329"/>
      <c r="I131" s="329"/>
      <c r="J131" s="329"/>
      <c r="K131" s="329"/>
      <c r="L131" s="329"/>
      <c r="M131" s="329"/>
      <c r="N131" s="329"/>
      <c r="O131" s="329"/>
      <c r="P131" s="337"/>
      <c r="Q131" s="337"/>
      <c r="R131" s="337"/>
      <c r="S131" s="337"/>
      <c r="T131" s="337"/>
      <c r="U131" s="337"/>
      <c r="V131" s="337"/>
      <c r="W131" s="337"/>
      <c r="X131" s="339"/>
      <c r="Y131" s="339"/>
      <c r="Z131" s="339"/>
    </row>
    <row r="132" ht="60.75" customHeight="1" spans="1:37">
      <c r="A132" s="326">
        <v>1</v>
      </c>
      <c r="B132" s="327" t="s">
        <v>211</v>
      </c>
      <c r="C132" s="327"/>
      <c r="D132" s="330" t="s">
        <v>211</v>
      </c>
      <c r="E132" s="331" t="s">
        <v>212</v>
      </c>
      <c r="F132" s="330" t="s">
        <v>107</v>
      </c>
      <c r="G132" s="329"/>
      <c r="H132" s="329"/>
      <c r="I132" s="329"/>
      <c r="J132" s="329"/>
      <c r="K132" s="329"/>
      <c r="L132" s="329">
        <f>ROUND(SUM(L133:L140),4)</f>
        <v>7.04</v>
      </c>
      <c r="M132" s="329">
        <f>ROUND(SUM(M133:M140),4)</f>
        <v>14.08</v>
      </c>
      <c r="N132" s="329"/>
      <c r="O132" s="329">
        <f>ROUND(SUM(N132:N140),4)</f>
        <v>1.1853</v>
      </c>
      <c r="P132" s="337"/>
      <c r="Q132" s="337"/>
      <c r="R132" s="337">
        <v>5789594</v>
      </c>
      <c r="S132" s="337">
        <v>651440</v>
      </c>
      <c r="T132" s="337">
        <f>ROUND(ROUND(O132,4)*P132,0)</f>
        <v>0</v>
      </c>
      <c r="U132" s="337">
        <f>ROUND(ROUND(O132,4)*Q132,0)</f>
        <v>0</v>
      </c>
      <c r="V132" s="337">
        <f>ROUND(ROUND(O132,4)*R132,0)</f>
        <v>6862406</v>
      </c>
      <c r="W132" s="337">
        <f>ROUND(ROUND(O132,4)*S132,0)</f>
        <v>772152</v>
      </c>
      <c r="X132" s="339"/>
      <c r="Y132" s="339"/>
      <c r="Z132" s="339"/>
      <c r="AA132" s="325" t="s">
        <v>47</v>
      </c>
      <c r="AB132" s="325" t="s">
        <v>48</v>
      </c>
      <c r="AC132" s="324" t="s">
        <v>171</v>
      </c>
      <c r="AD132" s="324" t="s">
        <v>213</v>
      </c>
      <c r="AE132" s="324" t="s">
        <v>214</v>
      </c>
      <c r="AK132" s="325" t="s">
        <v>51</v>
      </c>
    </row>
    <row r="133" ht="16.5" customHeight="1" spans="1:26">
      <c r="A133" s="326"/>
      <c r="B133" s="327"/>
      <c r="C133" s="327"/>
      <c r="D133" s="330"/>
      <c r="E133" s="333" t="s">
        <v>215</v>
      </c>
      <c r="F133" s="330"/>
      <c r="G133" s="329"/>
      <c r="H133" s="329"/>
      <c r="I133" s="329"/>
      <c r="J133" s="329"/>
      <c r="K133" s="329"/>
      <c r="L133" s="329"/>
      <c r="M133" s="329"/>
      <c r="N133" s="329"/>
      <c r="O133" s="329"/>
      <c r="P133" s="337"/>
      <c r="Q133" s="337"/>
      <c r="R133" s="337"/>
      <c r="S133" s="337"/>
      <c r="T133" s="337"/>
      <c r="U133" s="337"/>
      <c r="V133" s="337"/>
      <c r="W133" s="337"/>
      <c r="X133" s="339"/>
      <c r="Y133" s="339"/>
      <c r="Z133" s="339"/>
    </row>
    <row r="134" ht="16.5" customHeight="1" spans="1:26">
      <c r="A134" s="326"/>
      <c r="B134" s="327"/>
      <c r="C134" s="327"/>
      <c r="D134" s="330"/>
      <c r="E134" s="332" t="s">
        <v>216</v>
      </c>
      <c r="F134" s="330"/>
      <c r="G134" s="329">
        <v>1</v>
      </c>
      <c r="H134" s="329">
        <v>0.44</v>
      </c>
      <c r="I134" s="329">
        <v>2</v>
      </c>
      <c r="J134" s="329">
        <f>3.9+3.3*3-0.12*4</f>
        <v>13.32</v>
      </c>
      <c r="K134" s="329">
        <v>0.01</v>
      </c>
      <c r="L134" s="329">
        <f>ROUND(G134*H134,4)</f>
        <v>0.44</v>
      </c>
      <c r="M134" s="329">
        <f>ROUND(G134*H134*I134,4)</f>
        <v>0.88</v>
      </c>
      <c r="N134" s="329">
        <f>ROUND(G134*H134*I134*J134*K134,4)</f>
        <v>0.1172</v>
      </c>
      <c r="O134" s="329"/>
      <c r="P134" s="337"/>
      <c r="Q134" s="337"/>
      <c r="R134" s="337"/>
      <c r="S134" s="337"/>
      <c r="T134" s="337"/>
      <c r="U134" s="337"/>
      <c r="V134" s="337"/>
      <c r="W134" s="337"/>
      <c r="X134" s="339"/>
      <c r="Y134" s="339"/>
      <c r="Z134" s="339"/>
    </row>
    <row r="135" ht="16.5" customHeight="1" spans="1:26">
      <c r="A135" s="326"/>
      <c r="B135" s="327"/>
      <c r="C135" s="327"/>
      <c r="D135" s="330"/>
      <c r="E135" s="332" t="s">
        <v>217</v>
      </c>
      <c r="F135" s="330"/>
      <c r="G135" s="329">
        <v>5</v>
      </c>
      <c r="H135" s="329">
        <v>0.44</v>
      </c>
      <c r="I135" s="329">
        <v>2</v>
      </c>
      <c r="J135" s="329">
        <f>3.9+3.3*3-0.12*4</f>
        <v>13.32</v>
      </c>
      <c r="K135" s="329">
        <v>0.01</v>
      </c>
      <c r="L135" s="329">
        <f>ROUND(G135*H135,4)</f>
        <v>2.2</v>
      </c>
      <c r="M135" s="329">
        <f>ROUND(G135*H135*I135,4)</f>
        <v>4.4</v>
      </c>
      <c r="N135" s="329">
        <f>ROUND(G135*H135*I135*J135*K135,4)</f>
        <v>0.5861</v>
      </c>
      <c r="O135" s="329"/>
      <c r="P135" s="337"/>
      <c r="Q135" s="337"/>
      <c r="R135" s="337"/>
      <c r="S135" s="337"/>
      <c r="T135" s="337"/>
      <c r="U135" s="337"/>
      <c r="V135" s="337"/>
      <c r="W135" s="337"/>
      <c r="X135" s="339"/>
      <c r="Y135" s="339"/>
      <c r="Z135" s="339"/>
    </row>
    <row r="136" ht="16.5" customHeight="1" spans="1:26">
      <c r="A136" s="326"/>
      <c r="B136" s="327"/>
      <c r="C136" s="327"/>
      <c r="D136" s="330"/>
      <c r="E136" s="332" t="s">
        <v>218</v>
      </c>
      <c r="F136" s="330"/>
      <c r="G136" s="329">
        <v>2</v>
      </c>
      <c r="H136" s="329">
        <v>0.44</v>
      </c>
      <c r="I136" s="329">
        <v>2</v>
      </c>
      <c r="J136" s="329">
        <f>3.9+3.3*3-0.12*4</f>
        <v>13.32</v>
      </c>
      <c r="K136" s="329">
        <v>0.01</v>
      </c>
      <c r="L136" s="329">
        <f>ROUND(G136*H136,4)</f>
        <v>0.88</v>
      </c>
      <c r="M136" s="329">
        <f>ROUND(G136*H136*I136,4)</f>
        <v>1.76</v>
      </c>
      <c r="N136" s="329">
        <f>ROUND(G136*H136*I136*J136*K136,4)</f>
        <v>0.2344</v>
      </c>
      <c r="O136" s="329"/>
      <c r="P136" s="337"/>
      <c r="Q136" s="337"/>
      <c r="R136" s="337"/>
      <c r="S136" s="337"/>
      <c r="T136" s="337"/>
      <c r="U136" s="337"/>
      <c r="V136" s="337"/>
      <c r="W136" s="337"/>
      <c r="X136" s="339"/>
      <c r="Y136" s="339"/>
      <c r="Z136" s="339"/>
    </row>
    <row r="137" ht="16.5" customHeight="1" spans="1:26">
      <c r="A137" s="326"/>
      <c r="B137" s="327"/>
      <c r="C137" s="327"/>
      <c r="D137" s="330"/>
      <c r="E137" s="333" t="s">
        <v>219</v>
      </c>
      <c r="F137" s="330"/>
      <c r="G137" s="329"/>
      <c r="H137" s="329"/>
      <c r="I137" s="329"/>
      <c r="J137" s="329"/>
      <c r="K137" s="329"/>
      <c r="L137" s="329"/>
      <c r="M137" s="329"/>
      <c r="N137" s="329"/>
      <c r="O137" s="329"/>
      <c r="P137" s="337"/>
      <c r="Q137" s="337"/>
      <c r="R137" s="337"/>
      <c r="S137" s="337"/>
      <c r="T137" s="337"/>
      <c r="U137" s="337"/>
      <c r="V137" s="337"/>
      <c r="W137" s="337"/>
      <c r="X137" s="339"/>
      <c r="Y137" s="339"/>
      <c r="Z137" s="339"/>
    </row>
    <row r="138" ht="16.5" customHeight="1" spans="1:26">
      <c r="A138" s="326"/>
      <c r="B138" s="327"/>
      <c r="C138" s="327"/>
      <c r="D138" s="330"/>
      <c r="E138" s="332" t="s">
        <v>216</v>
      </c>
      <c r="F138" s="330"/>
      <c r="G138" s="329">
        <v>1</v>
      </c>
      <c r="H138" s="329">
        <v>0.44</v>
      </c>
      <c r="I138" s="329">
        <v>2</v>
      </c>
      <c r="J138" s="329">
        <f>3.6-0.12</f>
        <v>3.48</v>
      </c>
      <c r="K138" s="329">
        <v>0.01</v>
      </c>
      <c r="L138" s="329">
        <f>ROUND(G138*H138,4)</f>
        <v>0.44</v>
      </c>
      <c r="M138" s="329">
        <f>ROUND(G138*H138*I138,4)</f>
        <v>0.88</v>
      </c>
      <c r="N138" s="329">
        <f>ROUND(G138*H138*I138*J138*K138,4)</f>
        <v>0.0306</v>
      </c>
      <c r="O138" s="329"/>
      <c r="P138" s="337"/>
      <c r="Q138" s="337"/>
      <c r="R138" s="337"/>
      <c r="S138" s="337"/>
      <c r="T138" s="337"/>
      <c r="U138" s="337"/>
      <c r="V138" s="337"/>
      <c r="W138" s="337"/>
      <c r="X138" s="339"/>
      <c r="Y138" s="339"/>
      <c r="Z138" s="339"/>
    </row>
    <row r="139" ht="16.5" customHeight="1" spans="1:26">
      <c r="A139" s="326"/>
      <c r="B139" s="327"/>
      <c r="C139" s="327"/>
      <c r="D139" s="330"/>
      <c r="E139" s="332" t="s">
        <v>217</v>
      </c>
      <c r="F139" s="330"/>
      <c r="G139" s="329">
        <v>5</v>
      </c>
      <c r="H139" s="329">
        <v>0.44</v>
      </c>
      <c r="I139" s="329">
        <v>2</v>
      </c>
      <c r="J139" s="329">
        <f>3.6-0.12</f>
        <v>3.48</v>
      </c>
      <c r="K139" s="329">
        <v>0.01</v>
      </c>
      <c r="L139" s="329">
        <f>ROUND(G139*H139,4)</f>
        <v>2.2</v>
      </c>
      <c r="M139" s="329">
        <f>ROUND(G139*H139*I139,4)</f>
        <v>4.4</v>
      </c>
      <c r="N139" s="329">
        <f>ROUND(G139*H139*I139*J139*K139,4)</f>
        <v>0.1531</v>
      </c>
      <c r="O139" s="329"/>
      <c r="P139" s="337"/>
      <c r="Q139" s="337"/>
      <c r="R139" s="337"/>
      <c r="S139" s="337"/>
      <c r="T139" s="337"/>
      <c r="U139" s="337"/>
      <c r="V139" s="337"/>
      <c r="W139" s="337"/>
      <c r="X139" s="339"/>
      <c r="Y139" s="339"/>
      <c r="Z139" s="339"/>
    </row>
    <row r="140" ht="16.5" customHeight="1" spans="1:26">
      <c r="A140" s="326"/>
      <c r="B140" s="327"/>
      <c r="C140" s="327"/>
      <c r="D140" s="330"/>
      <c r="E140" s="332" t="s">
        <v>220</v>
      </c>
      <c r="F140" s="330"/>
      <c r="G140" s="329">
        <v>2</v>
      </c>
      <c r="H140" s="329">
        <v>0.44</v>
      </c>
      <c r="I140" s="329">
        <v>2</v>
      </c>
      <c r="J140" s="329">
        <f>0.214+3.037+0.5-0.12</f>
        <v>3.631</v>
      </c>
      <c r="K140" s="329">
        <v>0.01</v>
      </c>
      <c r="L140" s="329">
        <f>ROUND(G140*H140,4)</f>
        <v>0.88</v>
      </c>
      <c r="M140" s="329">
        <f>ROUND(G140*H140*I140,4)</f>
        <v>1.76</v>
      </c>
      <c r="N140" s="329">
        <f>ROUND(G140*H140*I140*J140*K140,4)</f>
        <v>0.0639</v>
      </c>
      <c r="O140" s="329"/>
      <c r="P140" s="337"/>
      <c r="Q140" s="337"/>
      <c r="R140" s="337"/>
      <c r="S140" s="337"/>
      <c r="T140" s="337"/>
      <c r="U140" s="337"/>
      <c r="V140" s="337"/>
      <c r="W140" s="337"/>
      <c r="X140" s="339"/>
      <c r="Y140" s="339"/>
      <c r="Z140" s="339"/>
    </row>
    <row r="141" ht="37.5" customHeight="1" spans="1:37">
      <c r="A141" s="326">
        <v>2</v>
      </c>
      <c r="B141" s="327" t="s">
        <v>221</v>
      </c>
      <c r="C141" s="327"/>
      <c r="D141" s="330" t="s">
        <v>221</v>
      </c>
      <c r="E141" s="331" t="s">
        <v>222</v>
      </c>
      <c r="F141" s="330" t="s">
        <v>114</v>
      </c>
      <c r="G141" s="329"/>
      <c r="H141" s="329"/>
      <c r="I141" s="329"/>
      <c r="J141" s="329"/>
      <c r="K141" s="329"/>
      <c r="L141" s="329"/>
      <c r="M141" s="329"/>
      <c r="N141" s="329"/>
      <c r="O141" s="329">
        <f>ROUND(SUM(N141:N145),4)</f>
        <v>0.1416</v>
      </c>
      <c r="P141" s="337">
        <v>16497030</v>
      </c>
      <c r="Q141" s="337"/>
      <c r="R141" s="337">
        <v>3633256</v>
      </c>
      <c r="S141" s="337">
        <v>177143</v>
      </c>
      <c r="T141" s="337">
        <f>ROUND(ROUND(O141,4)*P141,0)</f>
        <v>2335979</v>
      </c>
      <c r="U141" s="337">
        <f>ROUND(ROUND(O141,4)*Q141,0)</f>
        <v>0</v>
      </c>
      <c r="V141" s="337">
        <f>ROUND(ROUND(O141,4)*R141,0)</f>
        <v>514469</v>
      </c>
      <c r="W141" s="337">
        <f>ROUND(ROUND(O141,4)*S141,0)</f>
        <v>25083</v>
      </c>
      <c r="X141" s="339"/>
      <c r="Y141" s="339"/>
      <c r="Z141" s="339"/>
      <c r="AA141" s="325" t="s">
        <v>47</v>
      </c>
      <c r="AB141" s="325" t="s">
        <v>48</v>
      </c>
      <c r="AC141" s="324" t="s">
        <v>134</v>
      </c>
      <c r="AD141" s="324" t="s">
        <v>223</v>
      </c>
      <c r="AE141" s="324" t="s">
        <v>224</v>
      </c>
      <c r="AK141" s="325" t="s">
        <v>51</v>
      </c>
    </row>
    <row r="142" ht="16.5" customHeight="1" spans="1:26">
      <c r="A142" s="326"/>
      <c r="B142" s="327"/>
      <c r="C142" s="327"/>
      <c r="D142" s="330"/>
      <c r="E142" s="332" t="s">
        <v>225</v>
      </c>
      <c r="F142" s="330"/>
      <c r="G142" s="329"/>
      <c r="H142" s="329"/>
      <c r="I142" s="329"/>
      <c r="J142" s="329"/>
      <c r="K142" s="329"/>
      <c r="L142" s="329"/>
      <c r="M142" s="329"/>
      <c r="N142" s="329">
        <v>0.0177</v>
      </c>
      <c r="O142" s="329"/>
      <c r="P142" s="337"/>
      <c r="Q142" s="337"/>
      <c r="R142" s="337"/>
      <c r="S142" s="337"/>
      <c r="T142" s="337"/>
      <c r="U142" s="337"/>
      <c r="V142" s="337"/>
      <c r="W142" s="337"/>
      <c r="X142" s="339"/>
      <c r="Y142" s="339"/>
      <c r="Z142" s="339"/>
    </row>
    <row r="143" ht="16.5" customHeight="1" spans="1:26">
      <c r="A143" s="326"/>
      <c r="B143" s="327"/>
      <c r="C143" s="327"/>
      <c r="D143" s="330"/>
      <c r="E143" s="332" t="s">
        <v>226</v>
      </c>
      <c r="F143" s="330"/>
      <c r="G143" s="329"/>
      <c r="H143" s="329"/>
      <c r="I143" s="329"/>
      <c r="J143" s="329"/>
      <c r="K143" s="329"/>
      <c r="L143" s="329"/>
      <c r="M143" s="329"/>
      <c r="N143" s="329">
        <v>0.0885</v>
      </c>
      <c r="O143" s="329"/>
      <c r="P143" s="337"/>
      <c r="Q143" s="337"/>
      <c r="R143" s="337"/>
      <c r="S143" s="337"/>
      <c r="T143" s="337"/>
      <c r="U143" s="337"/>
      <c r="V143" s="337"/>
      <c r="W143" s="337"/>
      <c r="X143" s="339"/>
      <c r="Y143" s="339"/>
      <c r="Z143" s="339"/>
    </row>
    <row r="144" ht="16.5" customHeight="1" spans="1:26">
      <c r="A144" s="326"/>
      <c r="B144" s="327"/>
      <c r="C144" s="327"/>
      <c r="D144" s="330"/>
      <c r="E144" s="332" t="s">
        <v>227</v>
      </c>
      <c r="F144" s="330"/>
      <c r="G144" s="329"/>
      <c r="H144" s="329"/>
      <c r="I144" s="329"/>
      <c r="J144" s="329"/>
      <c r="K144" s="329"/>
      <c r="L144" s="329"/>
      <c r="M144" s="329"/>
      <c r="N144" s="329">
        <v>0.0284</v>
      </c>
      <c r="O144" s="329"/>
      <c r="P144" s="337"/>
      <c r="Q144" s="337"/>
      <c r="R144" s="337"/>
      <c r="S144" s="337"/>
      <c r="T144" s="337"/>
      <c r="U144" s="337"/>
      <c r="V144" s="337"/>
      <c r="W144" s="337"/>
      <c r="X144" s="339"/>
      <c r="Y144" s="339"/>
      <c r="Z144" s="339"/>
    </row>
    <row r="145" ht="16.5" customHeight="1" spans="1:26">
      <c r="A145" s="326"/>
      <c r="B145" s="327"/>
      <c r="C145" s="327"/>
      <c r="D145" s="330"/>
      <c r="E145" s="332" t="s">
        <v>228</v>
      </c>
      <c r="F145" s="330"/>
      <c r="G145" s="329"/>
      <c r="H145" s="329"/>
      <c r="I145" s="329"/>
      <c r="J145" s="329"/>
      <c r="K145" s="329"/>
      <c r="L145" s="329"/>
      <c r="M145" s="329"/>
      <c r="N145" s="329">
        <v>0.007</v>
      </c>
      <c r="O145" s="329"/>
      <c r="P145" s="337"/>
      <c r="Q145" s="337"/>
      <c r="R145" s="337"/>
      <c r="S145" s="337"/>
      <c r="T145" s="337"/>
      <c r="U145" s="337"/>
      <c r="V145" s="337"/>
      <c r="W145" s="337"/>
      <c r="X145" s="339"/>
      <c r="Y145" s="339"/>
      <c r="Z145" s="339"/>
    </row>
    <row r="146" ht="37.5" customHeight="1" spans="1:37">
      <c r="A146" s="326">
        <v>3</v>
      </c>
      <c r="B146" s="327" t="s">
        <v>229</v>
      </c>
      <c r="C146" s="327"/>
      <c r="D146" s="330" t="s">
        <v>229</v>
      </c>
      <c r="E146" s="331" t="s">
        <v>230</v>
      </c>
      <c r="F146" s="330" t="s">
        <v>114</v>
      </c>
      <c r="G146" s="329"/>
      <c r="H146" s="329"/>
      <c r="I146" s="329"/>
      <c r="J146" s="329"/>
      <c r="K146" s="329"/>
      <c r="L146" s="329"/>
      <c r="M146" s="329"/>
      <c r="N146" s="329"/>
      <c r="O146" s="329">
        <f>ROUND(SUM(N146:N150),4)</f>
        <v>0.978</v>
      </c>
      <c r="P146" s="337">
        <v>16393332</v>
      </c>
      <c r="Q146" s="337"/>
      <c r="R146" s="337">
        <v>2427223</v>
      </c>
      <c r="S146" s="337">
        <v>532985</v>
      </c>
      <c r="T146" s="337">
        <f>ROUND(ROUND(O146,4)*P146,0)</f>
        <v>16032679</v>
      </c>
      <c r="U146" s="337">
        <f>ROUND(ROUND(O146,4)*Q146,0)</f>
        <v>0</v>
      </c>
      <c r="V146" s="337">
        <f>ROUND(ROUND(O146,4)*R146,0)</f>
        <v>2373824</v>
      </c>
      <c r="W146" s="337">
        <f>ROUND(ROUND(O146,4)*S146,0)</f>
        <v>521259</v>
      </c>
      <c r="X146" s="339"/>
      <c r="Y146" s="339"/>
      <c r="Z146" s="339"/>
      <c r="AA146" s="325" t="s">
        <v>47</v>
      </c>
      <c r="AB146" s="325" t="s">
        <v>48</v>
      </c>
      <c r="AC146" s="324" t="s">
        <v>231</v>
      </c>
      <c r="AD146" s="324" t="s">
        <v>232</v>
      </c>
      <c r="AE146" s="324" t="s">
        <v>233</v>
      </c>
      <c r="AK146" s="325" t="s">
        <v>51</v>
      </c>
    </row>
    <row r="147" ht="26.25" customHeight="1" spans="1:26">
      <c r="A147" s="326"/>
      <c r="B147" s="327"/>
      <c r="C147" s="327"/>
      <c r="D147" s="330"/>
      <c r="E147" s="332" t="s">
        <v>234</v>
      </c>
      <c r="F147" s="330"/>
      <c r="G147" s="329"/>
      <c r="H147" s="329"/>
      <c r="I147" s="329"/>
      <c r="J147" s="329"/>
      <c r="K147" s="329"/>
      <c r="L147" s="329"/>
      <c r="M147" s="329"/>
      <c r="N147" s="329">
        <v>0.1466</v>
      </c>
      <c r="O147" s="329"/>
      <c r="P147" s="337"/>
      <c r="Q147" s="337"/>
      <c r="R147" s="337"/>
      <c r="S147" s="337"/>
      <c r="T147" s="337"/>
      <c r="U147" s="337"/>
      <c r="V147" s="337"/>
      <c r="W147" s="337"/>
      <c r="X147" s="339"/>
      <c r="Y147" s="339"/>
      <c r="Z147" s="339"/>
    </row>
    <row r="148" ht="26.25" customHeight="1" spans="1:26">
      <c r="A148" s="326"/>
      <c r="B148" s="327"/>
      <c r="C148" s="327"/>
      <c r="D148" s="330"/>
      <c r="E148" s="332" t="s">
        <v>235</v>
      </c>
      <c r="F148" s="330"/>
      <c r="G148" s="329"/>
      <c r="H148" s="329"/>
      <c r="I148" s="329"/>
      <c r="J148" s="329"/>
      <c r="K148" s="329"/>
      <c r="L148" s="329"/>
      <c r="M148" s="329"/>
      <c r="N148" s="329">
        <v>0.586</v>
      </c>
      <c r="O148" s="329"/>
      <c r="P148" s="337"/>
      <c r="Q148" s="337"/>
      <c r="R148" s="337"/>
      <c r="S148" s="337"/>
      <c r="T148" s="337"/>
      <c r="U148" s="337"/>
      <c r="V148" s="337"/>
      <c r="W148" s="337"/>
      <c r="X148" s="339"/>
      <c r="Y148" s="339"/>
      <c r="Z148" s="339"/>
    </row>
    <row r="149" ht="26.25" customHeight="1" spans="1:26">
      <c r="A149" s="326"/>
      <c r="B149" s="327"/>
      <c r="C149" s="327"/>
      <c r="D149" s="330"/>
      <c r="E149" s="332" t="s">
        <v>236</v>
      </c>
      <c r="F149" s="330"/>
      <c r="G149" s="329"/>
      <c r="H149" s="329"/>
      <c r="I149" s="329"/>
      <c r="J149" s="329"/>
      <c r="K149" s="329"/>
      <c r="L149" s="329"/>
      <c r="M149" s="329"/>
      <c r="N149" s="329">
        <v>0.1814</v>
      </c>
      <c r="O149" s="329"/>
      <c r="P149" s="337"/>
      <c r="Q149" s="337"/>
      <c r="R149" s="337"/>
      <c r="S149" s="337"/>
      <c r="T149" s="337"/>
      <c r="U149" s="337"/>
      <c r="V149" s="337"/>
      <c r="W149" s="337"/>
      <c r="X149" s="339"/>
      <c r="Y149" s="339"/>
      <c r="Z149" s="339"/>
    </row>
    <row r="150" ht="16.5" customHeight="1" spans="1:26">
      <c r="A150" s="326"/>
      <c r="B150" s="327"/>
      <c r="C150" s="327"/>
      <c r="D150" s="330"/>
      <c r="E150" s="332" t="s">
        <v>237</v>
      </c>
      <c r="F150" s="330"/>
      <c r="G150" s="329"/>
      <c r="H150" s="329"/>
      <c r="I150" s="329"/>
      <c r="J150" s="329"/>
      <c r="K150" s="329"/>
      <c r="L150" s="329"/>
      <c r="M150" s="329"/>
      <c r="N150" s="329">
        <v>0.064</v>
      </c>
      <c r="O150" s="329"/>
      <c r="P150" s="337"/>
      <c r="Q150" s="337"/>
      <c r="R150" s="337"/>
      <c r="S150" s="337"/>
      <c r="T150" s="337"/>
      <c r="U150" s="337"/>
      <c r="V150" s="337"/>
      <c r="W150" s="337"/>
      <c r="X150" s="339"/>
      <c r="Y150" s="339"/>
      <c r="Z150" s="339"/>
    </row>
    <row r="151" ht="37.5" customHeight="1" spans="1:37">
      <c r="A151" s="326">
        <v>4</v>
      </c>
      <c r="B151" s="327" t="s">
        <v>238</v>
      </c>
      <c r="C151" s="327"/>
      <c r="D151" s="330" t="s">
        <v>238</v>
      </c>
      <c r="E151" s="331" t="s">
        <v>239</v>
      </c>
      <c r="F151" s="330" t="s">
        <v>114</v>
      </c>
      <c r="G151" s="329"/>
      <c r="H151" s="329"/>
      <c r="I151" s="329"/>
      <c r="J151" s="329"/>
      <c r="K151" s="329"/>
      <c r="L151" s="329"/>
      <c r="M151" s="329"/>
      <c r="N151" s="329"/>
      <c r="O151" s="329">
        <f>ROUND(SUM(N151:N153),4)</f>
        <v>0.3108</v>
      </c>
      <c r="P151" s="337">
        <v>16419000</v>
      </c>
      <c r="Q151" s="337"/>
      <c r="R151" s="337">
        <v>2108934</v>
      </c>
      <c r="S151" s="337">
        <v>596831</v>
      </c>
      <c r="T151" s="337">
        <f>ROUND(ROUND(O151,4)*P151,0)</f>
        <v>5103025</v>
      </c>
      <c r="U151" s="337">
        <f>ROUND(ROUND(O151,4)*Q151,0)</f>
        <v>0</v>
      </c>
      <c r="V151" s="337">
        <f>ROUND(ROUND(O151,4)*R151,0)</f>
        <v>655457</v>
      </c>
      <c r="W151" s="337">
        <f>ROUND(ROUND(O151,4)*S151,0)</f>
        <v>185495</v>
      </c>
      <c r="X151" s="339"/>
      <c r="Y151" s="339"/>
      <c r="Z151" s="339"/>
      <c r="AA151" s="325" t="s">
        <v>47</v>
      </c>
      <c r="AB151" s="325" t="s">
        <v>48</v>
      </c>
      <c r="AC151" s="324" t="s">
        <v>240</v>
      </c>
      <c r="AD151" s="324" t="s">
        <v>241</v>
      </c>
      <c r="AE151" s="324" t="s">
        <v>242</v>
      </c>
      <c r="AK151" s="325" t="s">
        <v>51</v>
      </c>
    </row>
    <row r="152" ht="16.5" customHeight="1" spans="1:26">
      <c r="A152" s="326"/>
      <c r="B152" s="327"/>
      <c r="C152" s="327"/>
      <c r="D152" s="330"/>
      <c r="E152" s="332" t="s">
        <v>243</v>
      </c>
      <c r="F152" s="330"/>
      <c r="G152" s="329"/>
      <c r="H152" s="329"/>
      <c r="I152" s="329"/>
      <c r="J152" s="329"/>
      <c r="K152" s="329"/>
      <c r="L152" s="329"/>
      <c r="M152" s="329"/>
      <c r="N152" s="329">
        <v>0.222</v>
      </c>
      <c r="O152" s="329"/>
      <c r="P152" s="337"/>
      <c r="Q152" s="337"/>
      <c r="R152" s="337"/>
      <c r="S152" s="337"/>
      <c r="T152" s="337"/>
      <c r="U152" s="337"/>
      <c r="V152" s="337"/>
      <c r="W152" s="337"/>
      <c r="X152" s="339"/>
      <c r="Y152" s="339"/>
      <c r="Z152" s="339"/>
    </row>
    <row r="153" ht="16.5" customHeight="1" spans="1:26">
      <c r="A153" s="326"/>
      <c r="B153" s="327"/>
      <c r="C153" s="327"/>
      <c r="D153" s="330"/>
      <c r="E153" s="332" t="s">
        <v>244</v>
      </c>
      <c r="F153" s="330"/>
      <c r="G153" s="329"/>
      <c r="H153" s="329"/>
      <c r="I153" s="329"/>
      <c r="J153" s="329"/>
      <c r="K153" s="329"/>
      <c r="L153" s="329"/>
      <c r="M153" s="329"/>
      <c r="N153" s="329">
        <v>0.0888</v>
      </c>
      <c r="O153" s="329"/>
      <c r="P153" s="337"/>
      <c r="Q153" s="337"/>
      <c r="R153" s="337"/>
      <c r="S153" s="337"/>
      <c r="T153" s="337"/>
      <c r="U153" s="337"/>
      <c r="V153" s="337"/>
      <c r="W153" s="337"/>
      <c r="X153" s="339"/>
      <c r="Y153" s="339"/>
      <c r="Z153" s="339"/>
    </row>
    <row r="154" ht="48.75" customHeight="1" spans="1:37">
      <c r="A154" s="326">
        <v>5</v>
      </c>
      <c r="B154" s="327" t="s">
        <v>245</v>
      </c>
      <c r="C154" s="327" t="s">
        <v>246</v>
      </c>
      <c r="D154" s="330" t="s">
        <v>245</v>
      </c>
      <c r="E154" s="331" t="s">
        <v>247</v>
      </c>
      <c r="F154" s="330" t="s">
        <v>55</v>
      </c>
      <c r="G154" s="329"/>
      <c r="H154" s="329"/>
      <c r="I154" s="329"/>
      <c r="J154" s="329"/>
      <c r="K154" s="329"/>
      <c r="L154" s="329">
        <f>ROUND(SUM(L155:L163),4)</f>
        <v>3.52</v>
      </c>
      <c r="M154" s="329">
        <f>ROUND(SUM(M155:M163),4)</f>
        <v>0.7744</v>
      </c>
      <c r="N154" s="329"/>
      <c r="O154" s="329">
        <f>ROUND(SUM(N154:N163),4)</f>
        <v>6.5196</v>
      </c>
      <c r="P154" s="337">
        <v>784097</v>
      </c>
      <c r="Q154" s="337"/>
      <c r="R154" s="337">
        <v>824953</v>
      </c>
      <c r="S154" s="337">
        <v>210809</v>
      </c>
      <c r="T154" s="337">
        <f>ROUND(ROUND(O154,4)*P154,0)</f>
        <v>5111999</v>
      </c>
      <c r="U154" s="337">
        <f>ROUND(ROUND(O154,4)*Q154,0)</f>
        <v>0</v>
      </c>
      <c r="V154" s="337">
        <f>ROUND(ROUND(O154,4)*R154,0)</f>
        <v>5378364</v>
      </c>
      <c r="W154" s="337">
        <f>ROUND(ROUND(O154,4)*S154,0)</f>
        <v>1374390</v>
      </c>
      <c r="X154" s="339"/>
      <c r="Y154" s="339"/>
      <c r="Z154" s="339"/>
      <c r="AA154" s="325" t="s">
        <v>47</v>
      </c>
      <c r="AB154" s="325" t="s">
        <v>48</v>
      </c>
      <c r="AC154" s="324" t="s">
        <v>248</v>
      </c>
      <c r="AD154" s="324" t="s">
        <v>249</v>
      </c>
      <c r="AE154" s="324" t="s">
        <v>250</v>
      </c>
      <c r="AK154" s="325" t="s">
        <v>51</v>
      </c>
    </row>
    <row r="155" ht="16.5" customHeight="1" spans="1:26">
      <c r="A155" s="326"/>
      <c r="B155" s="327"/>
      <c r="C155" s="327"/>
      <c r="D155" s="330"/>
      <c r="E155" s="333" t="s">
        <v>215</v>
      </c>
      <c r="F155" s="330"/>
      <c r="G155" s="329"/>
      <c r="H155" s="329"/>
      <c r="I155" s="329"/>
      <c r="J155" s="329"/>
      <c r="K155" s="329"/>
      <c r="L155" s="329"/>
      <c r="M155" s="329"/>
      <c r="N155" s="329"/>
      <c r="O155" s="329"/>
      <c r="P155" s="337"/>
      <c r="Q155" s="337"/>
      <c r="R155" s="337"/>
      <c r="S155" s="337"/>
      <c r="T155" s="337"/>
      <c r="U155" s="337"/>
      <c r="V155" s="337"/>
      <c r="W155" s="337"/>
      <c r="X155" s="339"/>
      <c r="Y155" s="339"/>
      <c r="Z155" s="339"/>
    </row>
    <row r="156" ht="16.5" customHeight="1" spans="1:26">
      <c r="A156" s="326"/>
      <c r="B156" s="327"/>
      <c r="C156" s="327"/>
      <c r="D156" s="330"/>
      <c r="E156" s="332" t="s">
        <v>216</v>
      </c>
      <c r="F156" s="330"/>
      <c r="G156" s="329">
        <v>1</v>
      </c>
      <c r="H156" s="329">
        <v>0.22</v>
      </c>
      <c r="I156" s="329">
        <v>0.22</v>
      </c>
      <c r="J156" s="329">
        <f>3.9+3.3*3-0.12*4</f>
        <v>13.32</v>
      </c>
      <c r="K156" s="329"/>
      <c r="L156" s="329">
        <f>ROUND(G156*H156,4)</f>
        <v>0.22</v>
      </c>
      <c r="M156" s="329">
        <f>ROUND(G156*H156*I156,4)</f>
        <v>0.0484</v>
      </c>
      <c r="N156" s="329">
        <f>ROUND(G156*H156*I156*J156,4)</f>
        <v>0.6447</v>
      </c>
      <c r="O156" s="329"/>
      <c r="P156" s="337"/>
      <c r="Q156" s="337"/>
      <c r="R156" s="337"/>
      <c r="S156" s="337"/>
      <c r="T156" s="337"/>
      <c r="U156" s="337"/>
      <c r="V156" s="337"/>
      <c r="W156" s="337"/>
      <c r="X156" s="339"/>
      <c r="Y156" s="339"/>
      <c r="Z156" s="339"/>
    </row>
    <row r="157" ht="16.5" customHeight="1" spans="1:26">
      <c r="A157" s="326"/>
      <c r="B157" s="327"/>
      <c r="C157" s="327"/>
      <c r="D157" s="330"/>
      <c r="E157" s="332" t="s">
        <v>217</v>
      </c>
      <c r="F157" s="330"/>
      <c r="G157" s="329">
        <v>5</v>
      </c>
      <c r="H157" s="329">
        <v>0.22</v>
      </c>
      <c r="I157" s="329">
        <v>0.22</v>
      </c>
      <c r="J157" s="329">
        <f>3.9+3.3*3-0.12*4</f>
        <v>13.32</v>
      </c>
      <c r="K157" s="329"/>
      <c r="L157" s="329">
        <f>ROUND(G157*H157,4)</f>
        <v>1.1</v>
      </c>
      <c r="M157" s="329">
        <f>ROUND(G157*H157*I157,4)</f>
        <v>0.242</v>
      </c>
      <c r="N157" s="329">
        <f>ROUND(G157*H157*I157*J157,4)</f>
        <v>3.2234</v>
      </c>
      <c r="O157" s="329"/>
      <c r="P157" s="337"/>
      <c r="Q157" s="337"/>
      <c r="R157" s="337"/>
      <c r="S157" s="337"/>
      <c r="T157" s="337"/>
      <c r="U157" s="337"/>
      <c r="V157" s="337"/>
      <c r="W157" s="337"/>
      <c r="X157" s="339"/>
      <c r="Y157" s="339"/>
      <c r="Z157" s="339"/>
    </row>
    <row r="158" ht="16.5" customHeight="1" spans="1:26">
      <c r="A158" s="326"/>
      <c r="B158" s="327"/>
      <c r="C158" s="327"/>
      <c r="D158" s="330"/>
      <c r="E158" s="332" t="s">
        <v>218</v>
      </c>
      <c r="F158" s="330"/>
      <c r="G158" s="329">
        <v>2</v>
      </c>
      <c r="H158" s="329">
        <v>0.22</v>
      </c>
      <c r="I158" s="329">
        <v>0.22</v>
      </c>
      <c r="J158" s="329">
        <f>3.9+3.3*3-0.12*4</f>
        <v>13.32</v>
      </c>
      <c r="K158" s="329"/>
      <c r="L158" s="329">
        <f>ROUND(G158*H158,4)</f>
        <v>0.44</v>
      </c>
      <c r="M158" s="329">
        <f>ROUND(G158*H158*I158,4)</f>
        <v>0.0968</v>
      </c>
      <c r="N158" s="329">
        <f>ROUND(G158*H158*I158*J158,4)</f>
        <v>1.2894</v>
      </c>
      <c r="O158" s="329"/>
      <c r="P158" s="337"/>
      <c r="Q158" s="337"/>
      <c r="R158" s="337"/>
      <c r="S158" s="337"/>
      <c r="T158" s="337"/>
      <c r="U158" s="337"/>
      <c r="V158" s="337"/>
      <c r="W158" s="337"/>
      <c r="X158" s="339"/>
      <c r="Y158" s="339"/>
      <c r="Z158" s="339"/>
    </row>
    <row r="159" ht="16.5" customHeight="1" spans="1:26">
      <c r="A159" s="326"/>
      <c r="B159" s="327"/>
      <c r="C159" s="327"/>
      <c r="D159" s="330"/>
      <c r="E159" s="333" t="s">
        <v>219</v>
      </c>
      <c r="F159" s="330"/>
      <c r="G159" s="329"/>
      <c r="H159" s="329"/>
      <c r="I159" s="329"/>
      <c r="J159" s="329"/>
      <c r="K159" s="329"/>
      <c r="L159" s="329"/>
      <c r="M159" s="329"/>
      <c r="N159" s="329"/>
      <c r="O159" s="329"/>
      <c r="P159" s="337"/>
      <c r="Q159" s="337"/>
      <c r="R159" s="337"/>
      <c r="S159" s="337"/>
      <c r="T159" s="337"/>
      <c r="U159" s="337"/>
      <c r="V159" s="337"/>
      <c r="W159" s="337"/>
      <c r="X159" s="339"/>
      <c r="Y159" s="339"/>
      <c r="Z159" s="339"/>
    </row>
    <row r="160" ht="16.5" customHeight="1" spans="1:26">
      <c r="A160" s="326"/>
      <c r="B160" s="327"/>
      <c r="C160" s="327"/>
      <c r="D160" s="330"/>
      <c r="E160" s="332" t="s">
        <v>216</v>
      </c>
      <c r="F160" s="330"/>
      <c r="G160" s="329">
        <v>1</v>
      </c>
      <c r="H160" s="329">
        <v>0.22</v>
      </c>
      <c r="I160" s="329">
        <v>0.22</v>
      </c>
      <c r="J160" s="329">
        <f>3.6-0.12</f>
        <v>3.48</v>
      </c>
      <c r="K160" s="329"/>
      <c r="L160" s="329">
        <f>ROUND(G160*H160,4)</f>
        <v>0.22</v>
      </c>
      <c r="M160" s="329">
        <f>ROUND(G160*H160*I160,4)</f>
        <v>0.0484</v>
      </c>
      <c r="N160" s="329">
        <f>ROUND(G160*H160*I160*J160,4)</f>
        <v>0.1684</v>
      </c>
      <c r="O160" s="329"/>
      <c r="P160" s="337"/>
      <c r="Q160" s="337"/>
      <c r="R160" s="337"/>
      <c r="S160" s="337"/>
      <c r="T160" s="337"/>
      <c r="U160" s="337"/>
      <c r="V160" s="337"/>
      <c r="W160" s="337"/>
      <c r="X160" s="339"/>
      <c r="Y160" s="339"/>
      <c r="Z160" s="339"/>
    </row>
    <row r="161" ht="16.5" customHeight="1" spans="1:26">
      <c r="A161" s="326"/>
      <c r="B161" s="327"/>
      <c r="C161" s="327"/>
      <c r="D161" s="330"/>
      <c r="E161" s="332" t="s">
        <v>217</v>
      </c>
      <c r="F161" s="330"/>
      <c r="G161" s="329">
        <v>5</v>
      </c>
      <c r="H161" s="329">
        <v>0.22</v>
      </c>
      <c r="I161" s="329">
        <v>0.22</v>
      </c>
      <c r="J161" s="329">
        <f>3.6-0.12</f>
        <v>3.48</v>
      </c>
      <c r="K161" s="329"/>
      <c r="L161" s="329">
        <f>ROUND(G161*H161,4)</f>
        <v>1.1</v>
      </c>
      <c r="M161" s="329">
        <f>ROUND(G161*H161*I161,4)</f>
        <v>0.242</v>
      </c>
      <c r="N161" s="329">
        <f>ROUND(G161*H161*I161*J161,4)</f>
        <v>0.8422</v>
      </c>
      <c r="O161" s="329"/>
      <c r="P161" s="337"/>
      <c r="Q161" s="337"/>
      <c r="R161" s="337"/>
      <c r="S161" s="337"/>
      <c r="T161" s="337"/>
      <c r="U161" s="337"/>
      <c r="V161" s="337"/>
      <c r="W161" s="337"/>
      <c r="X161" s="339"/>
      <c r="Y161" s="339"/>
      <c r="Z161" s="339"/>
    </row>
    <row r="162" ht="16.5" customHeight="1" spans="1:26">
      <c r="A162" s="326"/>
      <c r="B162" s="327"/>
      <c r="C162" s="327"/>
      <c r="D162" s="330"/>
      <c r="E162" s="332" t="s">
        <v>220</v>
      </c>
      <c r="F162" s="330"/>
      <c r="G162" s="329">
        <v>2</v>
      </c>
      <c r="H162" s="329">
        <v>0.22</v>
      </c>
      <c r="I162" s="329">
        <v>0.22</v>
      </c>
      <c r="J162" s="329">
        <f>0.214+3.037+0.5-0.12</f>
        <v>3.631</v>
      </c>
      <c r="K162" s="329"/>
      <c r="L162" s="329">
        <f>ROUND(G162*H162,4)</f>
        <v>0.44</v>
      </c>
      <c r="M162" s="329">
        <f>ROUND(G162*H162*I162,4)</f>
        <v>0.0968</v>
      </c>
      <c r="N162" s="329">
        <f>ROUND(G162*H162*I162*J162,4)</f>
        <v>0.3515</v>
      </c>
      <c r="O162" s="329"/>
      <c r="P162" s="337"/>
      <c r="Q162" s="337"/>
      <c r="R162" s="337"/>
      <c r="S162" s="337"/>
      <c r="T162" s="337"/>
      <c r="U162" s="337"/>
      <c r="V162" s="337"/>
      <c r="W162" s="337"/>
      <c r="X162" s="339"/>
      <c r="Y162" s="339"/>
      <c r="Z162" s="339"/>
    </row>
    <row r="163" ht="16.5" customHeight="1" spans="1:26">
      <c r="A163" s="326"/>
      <c r="B163" s="327"/>
      <c r="C163" s="327"/>
      <c r="D163" s="330"/>
      <c r="E163" s="333" t="s">
        <v>251</v>
      </c>
      <c r="F163" s="330"/>
      <c r="G163" s="329"/>
      <c r="H163" s="329"/>
      <c r="I163" s="329"/>
      <c r="J163" s="329"/>
      <c r="K163" s="329"/>
      <c r="L163" s="329"/>
      <c r="M163" s="329"/>
      <c r="N163" s="329"/>
      <c r="O163" s="329"/>
      <c r="P163" s="337"/>
      <c r="Q163" s="337"/>
      <c r="R163" s="337"/>
      <c r="S163" s="337"/>
      <c r="T163" s="337"/>
      <c r="U163" s="337"/>
      <c r="V163" s="337"/>
      <c r="W163" s="337"/>
      <c r="X163" s="339"/>
      <c r="Y163" s="339"/>
      <c r="Z163" s="339"/>
    </row>
    <row r="164" ht="60.75" customHeight="1" spans="1:37">
      <c r="A164" s="326">
        <v>6</v>
      </c>
      <c r="B164" s="327" t="s">
        <v>252</v>
      </c>
      <c r="C164" s="327"/>
      <c r="D164" s="330" t="s">
        <v>252</v>
      </c>
      <c r="E164" s="331" t="s">
        <v>253</v>
      </c>
      <c r="F164" s="330" t="s">
        <v>107</v>
      </c>
      <c r="G164" s="329"/>
      <c r="H164" s="329"/>
      <c r="I164" s="329"/>
      <c r="J164" s="329"/>
      <c r="K164" s="329"/>
      <c r="L164" s="329">
        <f>ROUND(SUM(L165:L198),4)</f>
        <v>225.778</v>
      </c>
      <c r="M164" s="329">
        <f>ROUND(SUM(M165:M198),4)</f>
        <v>451.556</v>
      </c>
      <c r="N164" s="329"/>
      <c r="O164" s="329">
        <f>ROUND(SUM(N164:N198),4)</f>
        <v>1.1537</v>
      </c>
      <c r="P164" s="337">
        <v>679980</v>
      </c>
      <c r="Q164" s="337"/>
      <c r="R164" s="337">
        <v>5529940</v>
      </c>
      <c r="S164" s="337">
        <v>651440</v>
      </c>
      <c r="T164" s="337">
        <f>ROUND(ROUND(O164,4)*P164,0)</f>
        <v>784493</v>
      </c>
      <c r="U164" s="337">
        <f>ROUND(ROUND(O164,4)*Q164,0)</f>
        <v>0</v>
      </c>
      <c r="V164" s="337">
        <f>ROUND(ROUND(O164,4)*R164,0)</f>
        <v>6379892</v>
      </c>
      <c r="W164" s="337">
        <f>ROUND(ROUND(O164,4)*S164,0)</f>
        <v>751566</v>
      </c>
      <c r="X164" s="339"/>
      <c r="Y164" s="339"/>
      <c r="Z164" s="339"/>
      <c r="AA164" s="325" t="s">
        <v>47</v>
      </c>
      <c r="AB164" s="325" t="s">
        <v>48</v>
      </c>
      <c r="AC164" s="324" t="s">
        <v>254</v>
      </c>
      <c r="AD164" s="324" t="s">
        <v>255</v>
      </c>
      <c r="AE164" s="324" t="s">
        <v>214</v>
      </c>
      <c r="AK164" s="325" t="s">
        <v>51</v>
      </c>
    </row>
    <row r="165" ht="16.5" customHeight="1" spans="1:26">
      <c r="A165" s="326"/>
      <c r="B165" s="327"/>
      <c r="C165" s="327"/>
      <c r="D165" s="330"/>
      <c r="E165" s="333" t="s">
        <v>256</v>
      </c>
      <c r="F165" s="330"/>
      <c r="G165" s="329"/>
      <c r="H165" s="329"/>
      <c r="I165" s="329"/>
      <c r="J165" s="329"/>
      <c r="K165" s="329"/>
      <c r="L165" s="329"/>
      <c r="M165" s="329"/>
      <c r="N165" s="329"/>
      <c r="O165" s="329"/>
      <c r="P165" s="337"/>
      <c r="Q165" s="337"/>
      <c r="R165" s="337"/>
      <c r="S165" s="337"/>
      <c r="T165" s="337"/>
      <c r="U165" s="337"/>
      <c r="V165" s="337"/>
      <c r="W165" s="337"/>
      <c r="X165" s="339"/>
      <c r="Y165" s="339"/>
      <c r="Z165" s="339"/>
    </row>
    <row r="166" ht="16.5" customHeight="1" spans="1:26">
      <c r="A166" s="326"/>
      <c r="B166" s="327"/>
      <c r="C166" s="327"/>
      <c r="D166" s="330"/>
      <c r="E166" s="333" t="s">
        <v>257</v>
      </c>
      <c r="F166" s="330"/>
      <c r="G166" s="329"/>
      <c r="H166" s="329"/>
      <c r="I166" s="329"/>
      <c r="J166" s="329"/>
      <c r="K166" s="329"/>
      <c r="L166" s="329"/>
      <c r="M166" s="329"/>
      <c r="N166" s="329"/>
      <c r="O166" s="329"/>
      <c r="P166" s="337"/>
      <c r="Q166" s="337"/>
      <c r="R166" s="337"/>
      <c r="S166" s="337"/>
      <c r="T166" s="337"/>
      <c r="U166" s="337"/>
      <c r="V166" s="337"/>
      <c r="W166" s="337"/>
      <c r="X166" s="339"/>
      <c r="Y166" s="339"/>
      <c r="Z166" s="339"/>
    </row>
    <row r="167" ht="16.5" customHeight="1" spans="1:26">
      <c r="A167" s="326"/>
      <c r="B167" s="327"/>
      <c r="C167" s="327"/>
      <c r="D167" s="330"/>
      <c r="E167" s="332" t="s">
        <v>258</v>
      </c>
      <c r="F167" s="330"/>
      <c r="G167" s="329">
        <v>2</v>
      </c>
      <c r="H167" s="329">
        <f>5.5-0.22</f>
        <v>5.28</v>
      </c>
      <c r="I167" s="329">
        <v>2</v>
      </c>
      <c r="J167" s="329">
        <f>0.4-0.12</f>
        <v>0.28</v>
      </c>
      <c r="K167" s="329">
        <v>0.01</v>
      </c>
      <c r="L167" s="329">
        <f>ROUND(G167*H167,4)</f>
        <v>10.56</v>
      </c>
      <c r="M167" s="329">
        <f>ROUND(G167*H167*I167,4)</f>
        <v>21.12</v>
      </c>
      <c r="N167" s="329">
        <f>ROUND(G167*H167*I167*J167*K167,4)</f>
        <v>0.0591</v>
      </c>
      <c r="O167" s="329"/>
      <c r="P167" s="337"/>
      <c r="Q167" s="337"/>
      <c r="R167" s="337"/>
      <c r="S167" s="337"/>
      <c r="T167" s="337"/>
      <c r="U167" s="337"/>
      <c r="V167" s="337"/>
      <c r="W167" s="337"/>
      <c r="X167" s="339"/>
      <c r="Y167" s="339"/>
      <c r="Z167" s="339"/>
    </row>
    <row r="168" ht="16.5" customHeight="1" spans="1:26">
      <c r="A168" s="326"/>
      <c r="B168" s="327"/>
      <c r="C168" s="327"/>
      <c r="D168" s="330"/>
      <c r="E168" s="332"/>
      <c r="F168" s="330"/>
      <c r="G168" s="329">
        <v>2</v>
      </c>
      <c r="H168" s="329">
        <f>6.5-3*0.22</f>
        <v>5.84</v>
      </c>
      <c r="I168" s="329">
        <v>2</v>
      </c>
      <c r="J168" s="329">
        <f>0.3-0.12</f>
        <v>0.18</v>
      </c>
      <c r="K168" s="329">
        <v>0.01</v>
      </c>
      <c r="L168" s="329">
        <f>ROUND(G168*H168,4)</f>
        <v>11.68</v>
      </c>
      <c r="M168" s="329">
        <f>ROUND(G168*H168*I168,4)</f>
        <v>23.36</v>
      </c>
      <c r="N168" s="329">
        <f>ROUND(G168*H168*I168*J168*K168,4)</f>
        <v>0.042</v>
      </c>
      <c r="O168" s="329"/>
      <c r="P168" s="337"/>
      <c r="Q168" s="337"/>
      <c r="R168" s="337"/>
      <c r="S168" s="337"/>
      <c r="T168" s="337"/>
      <c r="U168" s="337"/>
      <c r="V168" s="337"/>
      <c r="W168" s="337"/>
      <c r="X168" s="339"/>
      <c r="Y168" s="339"/>
      <c r="Z168" s="339"/>
    </row>
    <row r="169" ht="16.5" customHeight="1" spans="1:26">
      <c r="A169" s="326"/>
      <c r="B169" s="327"/>
      <c r="C169" s="327"/>
      <c r="D169" s="330"/>
      <c r="E169" s="333" t="s">
        <v>259</v>
      </c>
      <c r="F169" s="330"/>
      <c r="G169" s="329"/>
      <c r="H169" s="329"/>
      <c r="I169" s="329"/>
      <c r="J169" s="329"/>
      <c r="K169" s="329"/>
      <c r="L169" s="329"/>
      <c r="M169" s="329"/>
      <c r="N169" s="329"/>
      <c r="O169" s="329"/>
      <c r="P169" s="337"/>
      <c r="Q169" s="337"/>
      <c r="R169" s="337"/>
      <c r="S169" s="337"/>
      <c r="T169" s="337"/>
      <c r="U169" s="337"/>
      <c r="V169" s="337"/>
      <c r="W169" s="337"/>
      <c r="X169" s="339"/>
      <c r="Y169" s="339"/>
      <c r="Z169" s="339"/>
    </row>
    <row r="170" ht="16.5" customHeight="1" spans="1:26">
      <c r="A170" s="326"/>
      <c r="B170" s="327"/>
      <c r="C170" s="327"/>
      <c r="D170" s="330"/>
      <c r="E170" s="333" t="s">
        <v>260</v>
      </c>
      <c r="F170" s="330"/>
      <c r="G170" s="329"/>
      <c r="H170" s="329"/>
      <c r="I170" s="329"/>
      <c r="J170" s="329"/>
      <c r="K170" s="329"/>
      <c r="L170" s="329"/>
      <c r="M170" s="329"/>
      <c r="N170" s="329"/>
      <c r="O170" s="329"/>
      <c r="P170" s="337"/>
      <c r="Q170" s="337"/>
      <c r="R170" s="337"/>
      <c r="S170" s="337"/>
      <c r="T170" s="337"/>
      <c r="U170" s="337"/>
      <c r="V170" s="337"/>
      <c r="W170" s="337"/>
      <c r="X170" s="339"/>
      <c r="Y170" s="339"/>
      <c r="Z170" s="339"/>
    </row>
    <row r="171" ht="16.5" customHeight="1" spans="1:26">
      <c r="A171" s="326"/>
      <c r="B171" s="327"/>
      <c r="C171" s="327"/>
      <c r="D171" s="330"/>
      <c r="E171" s="332" t="s">
        <v>261</v>
      </c>
      <c r="F171" s="330"/>
      <c r="G171" s="329">
        <v>1</v>
      </c>
      <c r="H171" s="329">
        <v>2.26</v>
      </c>
      <c r="I171" s="329">
        <v>2</v>
      </c>
      <c r="J171" s="329">
        <f>0.3-0.12</f>
        <v>0.18</v>
      </c>
      <c r="K171" s="329">
        <v>0.01</v>
      </c>
      <c r="L171" s="329">
        <f>ROUND(G171*H171,4)</f>
        <v>2.26</v>
      </c>
      <c r="M171" s="329">
        <f>ROUND(G171*H171*I171,4)</f>
        <v>4.52</v>
      </c>
      <c r="N171" s="329">
        <f>ROUND(G171*H171*I171*J171*K171,4)</f>
        <v>0.0081</v>
      </c>
      <c r="O171" s="329"/>
      <c r="P171" s="337"/>
      <c r="Q171" s="337"/>
      <c r="R171" s="337"/>
      <c r="S171" s="337"/>
      <c r="T171" s="337"/>
      <c r="U171" s="337"/>
      <c r="V171" s="337"/>
      <c r="W171" s="337"/>
      <c r="X171" s="339"/>
      <c r="Y171" s="339"/>
      <c r="Z171" s="339"/>
    </row>
    <row r="172" ht="16.5" customHeight="1" spans="1:26">
      <c r="A172" s="326"/>
      <c r="B172" s="327"/>
      <c r="C172" s="327"/>
      <c r="D172" s="330"/>
      <c r="E172" s="332" t="s">
        <v>262</v>
      </c>
      <c r="F172" s="330"/>
      <c r="G172" s="329">
        <v>2</v>
      </c>
      <c r="H172" s="329">
        <v>1.054</v>
      </c>
      <c r="I172" s="329">
        <v>2</v>
      </c>
      <c r="J172" s="329">
        <f>0.4-0.1</f>
        <v>0.3</v>
      </c>
      <c r="K172" s="329">
        <v>0.01</v>
      </c>
      <c r="L172" s="329">
        <f>ROUND(G172*H172,4)</f>
        <v>2.108</v>
      </c>
      <c r="M172" s="329">
        <f>ROUND(G172*H172*I172,4)</f>
        <v>4.216</v>
      </c>
      <c r="N172" s="329">
        <f>ROUND(G172*H172*I172*J172*K172,4)</f>
        <v>0.0126</v>
      </c>
      <c r="O172" s="329"/>
      <c r="P172" s="337"/>
      <c r="Q172" s="337"/>
      <c r="R172" s="337"/>
      <c r="S172" s="337"/>
      <c r="T172" s="337"/>
      <c r="U172" s="337"/>
      <c r="V172" s="337"/>
      <c r="W172" s="337"/>
      <c r="X172" s="339"/>
      <c r="Y172" s="339"/>
      <c r="Z172" s="339"/>
    </row>
    <row r="173" ht="16.5" customHeight="1" spans="1:26">
      <c r="A173" s="326"/>
      <c r="B173" s="327"/>
      <c r="C173" s="327"/>
      <c r="D173" s="330"/>
      <c r="E173" s="332" t="s">
        <v>263</v>
      </c>
      <c r="F173" s="330"/>
      <c r="G173" s="329">
        <v>4</v>
      </c>
      <c r="H173" s="329">
        <v>4.56</v>
      </c>
      <c r="I173" s="329">
        <v>2</v>
      </c>
      <c r="J173" s="329">
        <f>0.4-0.12</f>
        <v>0.28</v>
      </c>
      <c r="K173" s="329">
        <v>0.01</v>
      </c>
      <c r="L173" s="329">
        <f>ROUND(G173*H173,4)</f>
        <v>18.24</v>
      </c>
      <c r="M173" s="329">
        <f>ROUND(G173*H173*I173,4)</f>
        <v>36.48</v>
      </c>
      <c r="N173" s="329">
        <f>ROUND(G173*H173*I173*J173*K173,4)</f>
        <v>0.1021</v>
      </c>
      <c r="O173" s="329"/>
      <c r="P173" s="337"/>
      <c r="Q173" s="337"/>
      <c r="R173" s="337"/>
      <c r="S173" s="337"/>
      <c r="T173" s="337"/>
      <c r="U173" s="337"/>
      <c r="V173" s="337"/>
      <c r="W173" s="337"/>
      <c r="X173" s="339"/>
      <c r="Y173" s="339"/>
      <c r="Z173" s="339"/>
    </row>
    <row r="174" ht="16.5" customHeight="1" spans="1:26">
      <c r="A174" s="326"/>
      <c r="B174" s="327"/>
      <c r="C174" s="327"/>
      <c r="D174" s="330"/>
      <c r="E174" s="333" t="s">
        <v>264</v>
      </c>
      <c r="F174" s="330"/>
      <c r="G174" s="329"/>
      <c r="H174" s="329"/>
      <c r="I174" s="329"/>
      <c r="J174" s="329"/>
      <c r="K174" s="329"/>
      <c r="L174" s="329"/>
      <c r="M174" s="329"/>
      <c r="N174" s="329"/>
      <c r="O174" s="329"/>
      <c r="P174" s="337"/>
      <c r="Q174" s="337"/>
      <c r="R174" s="337"/>
      <c r="S174" s="337"/>
      <c r="T174" s="337"/>
      <c r="U174" s="337"/>
      <c r="V174" s="337"/>
      <c r="W174" s="337"/>
      <c r="X174" s="339"/>
      <c r="Y174" s="339"/>
      <c r="Z174" s="339"/>
    </row>
    <row r="175" ht="16.5" customHeight="1" spans="1:26">
      <c r="A175" s="326"/>
      <c r="B175" s="327"/>
      <c r="C175" s="327"/>
      <c r="D175" s="330"/>
      <c r="E175" s="332" t="s">
        <v>265</v>
      </c>
      <c r="F175" s="330"/>
      <c r="G175" s="329">
        <v>1</v>
      </c>
      <c r="H175" s="329">
        <v>4.05</v>
      </c>
      <c r="I175" s="329">
        <v>2</v>
      </c>
      <c r="J175" s="329">
        <f>0.4-0.1</f>
        <v>0.3</v>
      </c>
      <c r="K175" s="329">
        <v>0.01</v>
      </c>
      <c r="L175" s="329">
        <f>ROUND(G175*H175,4)</f>
        <v>4.05</v>
      </c>
      <c r="M175" s="329">
        <f>ROUND(G175*H175*I175,4)</f>
        <v>8.1</v>
      </c>
      <c r="N175" s="329">
        <f>ROUND(G175*H175*I175*J175*K175,4)</f>
        <v>0.0243</v>
      </c>
      <c r="O175" s="329"/>
      <c r="P175" s="337"/>
      <c r="Q175" s="337"/>
      <c r="R175" s="337"/>
      <c r="S175" s="337"/>
      <c r="T175" s="337"/>
      <c r="U175" s="337"/>
      <c r="V175" s="337"/>
      <c r="W175" s="337"/>
      <c r="X175" s="339"/>
      <c r="Y175" s="339"/>
      <c r="Z175" s="339"/>
    </row>
    <row r="176" ht="16.5" customHeight="1" spans="1:26">
      <c r="A176" s="326"/>
      <c r="B176" s="327"/>
      <c r="C176" s="327"/>
      <c r="D176" s="330"/>
      <c r="E176" s="333" t="s">
        <v>266</v>
      </c>
      <c r="F176" s="330"/>
      <c r="G176" s="329"/>
      <c r="H176" s="329"/>
      <c r="I176" s="329"/>
      <c r="J176" s="329"/>
      <c r="K176" s="329"/>
      <c r="L176" s="329"/>
      <c r="M176" s="329"/>
      <c r="N176" s="329"/>
      <c r="O176" s="329"/>
      <c r="P176" s="337"/>
      <c r="Q176" s="337"/>
      <c r="R176" s="337"/>
      <c r="S176" s="337"/>
      <c r="T176" s="337"/>
      <c r="U176" s="337"/>
      <c r="V176" s="337"/>
      <c r="W176" s="337"/>
      <c r="X176" s="339"/>
      <c r="Y176" s="339"/>
      <c r="Z176" s="339"/>
    </row>
    <row r="177" ht="16.5" customHeight="1" spans="1:26">
      <c r="A177" s="326"/>
      <c r="B177" s="327"/>
      <c r="C177" s="327"/>
      <c r="D177" s="330"/>
      <c r="E177" s="332" t="s">
        <v>267</v>
      </c>
      <c r="F177" s="330"/>
      <c r="G177" s="329">
        <v>4</v>
      </c>
      <c r="H177" s="329">
        <f>5.5-0.22</f>
        <v>5.28</v>
      </c>
      <c r="I177" s="329">
        <v>2</v>
      </c>
      <c r="J177" s="329">
        <f>0.4-0.12</f>
        <v>0.28</v>
      </c>
      <c r="K177" s="329">
        <v>0.01</v>
      </c>
      <c r="L177" s="329">
        <f>ROUND(G177*H177,4)</f>
        <v>21.12</v>
      </c>
      <c r="M177" s="329">
        <f>ROUND(G177*H177*I177,4)</f>
        <v>42.24</v>
      </c>
      <c r="N177" s="329">
        <f>ROUND(G177*H177*I177*J177*K177,4)</f>
        <v>0.1183</v>
      </c>
      <c r="O177" s="329"/>
      <c r="P177" s="337"/>
      <c r="Q177" s="337"/>
      <c r="R177" s="337"/>
      <c r="S177" s="337"/>
      <c r="T177" s="337"/>
      <c r="U177" s="337"/>
      <c r="V177" s="337"/>
      <c r="W177" s="337"/>
      <c r="X177" s="339"/>
      <c r="Y177" s="339"/>
      <c r="Z177" s="339"/>
    </row>
    <row r="178" ht="16.5" customHeight="1" spans="1:26">
      <c r="A178" s="326"/>
      <c r="B178" s="327"/>
      <c r="C178" s="327"/>
      <c r="D178" s="330"/>
      <c r="E178" s="332"/>
      <c r="F178" s="330"/>
      <c r="G178" s="329">
        <v>4</v>
      </c>
      <c r="H178" s="329">
        <f>6.5-3*0.22</f>
        <v>5.84</v>
      </c>
      <c r="I178" s="329">
        <v>2</v>
      </c>
      <c r="J178" s="329">
        <f>0.3-0.12</f>
        <v>0.18</v>
      </c>
      <c r="K178" s="329">
        <v>0.01</v>
      </c>
      <c r="L178" s="329">
        <f>ROUND(G178*H178,4)</f>
        <v>23.36</v>
      </c>
      <c r="M178" s="329">
        <f>ROUND(G178*H178*I178,4)</f>
        <v>46.72</v>
      </c>
      <c r="N178" s="329">
        <f>ROUND(G178*H178*I178*J178*K178,4)</f>
        <v>0.0841</v>
      </c>
      <c r="O178" s="329"/>
      <c r="P178" s="337"/>
      <c r="Q178" s="337"/>
      <c r="R178" s="337"/>
      <c r="S178" s="337"/>
      <c r="T178" s="337"/>
      <c r="U178" s="337"/>
      <c r="V178" s="337"/>
      <c r="W178" s="337"/>
      <c r="X178" s="339"/>
      <c r="Y178" s="339"/>
      <c r="Z178" s="339"/>
    </row>
    <row r="179" ht="16.5" customHeight="1" spans="1:26">
      <c r="A179" s="326"/>
      <c r="B179" s="327"/>
      <c r="C179" s="327"/>
      <c r="D179" s="330"/>
      <c r="E179" s="333" t="s">
        <v>268</v>
      </c>
      <c r="F179" s="330"/>
      <c r="G179" s="329"/>
      <c r="H179" s="329"/>
      <c r="I179" s="329"/>
      <c r="J179" s="329"/>
      <c r="K179" s="329"/>
      <c r="L179" s="329"/>
      <c r="M179" s="329"/>
      <c r="N179" s="329"/>
      <c r="O179" s="329"/>
      <c r="P179" s="337"/>
      <c r="Q179" s="337"/>
      <c r="R179" s="337"/>
      <c r="S179" s="337"/>
      <c r="T179" s="337"/>
      <c r="U179" s="337"/>
      <c r="V179" s="337"/>
      <c r="W179" s="337"/>
      <c r="X179" s="339"/>
      <c r="Y179" s="339"/>
      <c r="Z179" s="339"/>
    </row>
    <row r="180" ht="16.5" customHeight="1" spans="1:26">
      <c r="A180" s="326"/>
      <c r="B180" s="327"/>
      <c r="C180" s="327"/>
      <c r="D180" s="330"/>
      <c r="E180" s="333" t="s">
        <v>269</v>
      </c>
      <c r="F180" s="330"/>
      <c r="G180" s="329"/>
      <c r="H180" s="329"/>
      <c r="I180" s="329"/>
      <c r="J180" s="329"/>
      <c r="K180" s="329"/>
      <c r="L180" s="329"/>
      <c r="M180" s="329"/>
      <c r="N180" s="329"/>
      <c r="O180" s="329"/>
      <c r="P180" s="337"/>
      <c r="Q180" s="337"/>
      <c r="R180" s="337"/>
      <c r="S180" s="337"/>
      <c r="T180" s="337"/>
      <c r="U180" s="337"/>
      <c r="V180" s="337"/>
      <c r="W180" s="337"/>
      <c r="X180" s="339"/>
      <c r="Y180" s="339"/>
      <c r="Z180" s="339"/>
    </row>
    <row r="181" ht="16.5" customHeight="1" spans="1:26">
      <c r="A181" s="326"/>
      <c r="B181" s="327"/>
      <c r="C181" s="327"/>
      <c r="D181" s="330"/>
      <c r="E181" s="332" t="s">
        <v>270</v>
      </c>
      <c r="F181" s="330"/>
      <c r="G181" s="329">
        <v>2</v>
      </c>
      <c r="H181" s="329">
        <v>2.26</v>
      </c>
      <c r="I181" s="329">
        <v>2</v>
      </c>
      <c r="J181" s="329">
        <f>0.3-0.12</f>
        <v>0.18</v>
      </c>
      <c r="K181" s="329">
        <v>0.01</v>
      </c>
      <c r="L181" s="329">
        <f>ROUND(G181*H181,4)</f>
        <v>4.52</v>
      </c>
      <c r="M181" s="329">
        <f>ROUND(G181*H181*I181,4)</f>
        <v>9.04</v>
      </c>
      <c r="N181" s="329">
        <f>ROUND(G181*H181*I181*J181*K181,4)</f>
        <v>0.0163</v>
      </c>
      <c r="O181" s="329"/>
      <c r="P181" s="337"/>
      <c r="Q181" s="337"/>
      <c r="R181" s="337"/>
      <c r="S181" s="337"/>
      <c r="T181" s="337"/>
      <c r="U181" s="337"/>
      <c r="V181" s="337"/>
      <c r="W181" s="337"/>
      <c r="X181" s="339"/>
      <c r="Y181" s="339"/>
      <c r="Z181" s="339"/>
    </row>
    <row r="182" ht="16.5" customHeight="1" spans="1:26">
      <c r="A182" s="326"/>
      <c r="B182" s="327"/>
      <c r="C182" s="327"/>
      <c r="D182" s="330"/>
      <c r="E182" s="332" t="s">
        <v>271</v>
      </c>
      <c r="F182" s="330"/>
      <c r="G182" s="329">
        <v>4</v>
      </c>
      <c r="H182" s="329">
        <v>0.665</v>
      </c>
      <c r="I182" s="329">
        <v>2</v>
      </c>
      <c r="J182" s="329">
        <f>0.3-0.1</f>
        <v>0.2</v>
      </c>
      <c r="K182" s="329">
        <v>0.01</v>
      </c>
      <c r="L182" s="329">
        <f>ROUND(G182*H182,4)</f>
        <v>2.66</v>
      </c>
      <c r="M182" s="329">
        <f>ROUND(G182*H182*I182,4)</f>
        <v>5.32</v>
      </c>
      <c r="N182" s="329">
        <f>ROUND(G182*H182*I182*J182*K182,4)</f>
        <v>0.0106</v>
      </c>
      <c r="O182" s="329"/>
      <c r="P182" s="337"/>
      <c r="Q182" s="337"/>
      <c r="R182" s="337"/>
      <c r="S182" s="337"/>
      <c r="T182" s="337"/>
      <c r="U182" s="337"/>
      <c r="V182" s="337"/>
      <c r="W182" s="337"/>
      <c r="X182" s="339"/>
      <c r="Y182" s="339"/>
      <c r="Z182" s="339"/>
    </row>
    <row r="183" ht="16.5" customHeight="1" spans="1:26">
      <c r="A183" s="326"/>
      <c r="B183" s="327"/>
      <c r="C183" s="327"/>
      <c r="D183" s="330"/>
      <c r="E183" s="332" t="s">
        <v>272</v>
      </c>
      <c r="F183" s="330"/>
      <c r="G183" s="329">
        <v>6</v>
      </c>
      <c r="H183" s="329">
        <v>4.56</v>
      </c>
      <c r="I183" s="329">
        <v>2</v>
      </c>
      <c r="J183" s="329">
        <f>0.4-0.12</f>
        <v>0.28</v>
      </c>
      <c r="K183" s="329">
        <v>0.01</v>
      </c>
      <c r="L183" s="329">
        <f>ROUND(G183*H183,4)</f>
        <v>27.36</v>
      </c>
      <c r="M183" s="329">
        <f>ROUND(G183*H183*I183,4)</f>
        <v>54.72</v>
      </c>
      <c r="N183" s="329">
        <f>ROUND(G183*H183*I183*J183*K183,4)</f>
        <v>0.1532</v>
      </c>
      <c r="O183" s="329"/>
      <c r="P183" s="337"/>
      <c r="Q183" s="337"/>
      <c r="R183" s="337"/>
      <c r="S183" s="337"/>
      <c r="T183" s="337"/>
      <c r="U183" s="337"/>
      <c r="V183" s="337"/>
      <c r="W183" s="337"/>
      <c r="X183" s="339"/>
      <c r="Y183" s="339"/>
      <c r="Z183" s="339"/>
    </row>
    <row r="184" ht="16.5" customHeight="1" spans="1:26">
      <c r="A184" s="326"/>
      <c r="B184" s="327"/>
      <c r="C184" s="327"/>
      <c r="D184" s="330"/>
      <c r="E184" s="332" t="s">
        <v>273</v>
      </c>
      <c r="F184" s="330"/>
      <c r="G184" s="329">
        <v>2</v>
      </c>
      <c r="H184" s="329">
        <v>4.56</v>
      </c>
      <c r="I184" s="329">
        <v>2</v>
      </c>
      <c r="J184" s="329">
        <f>0.4-0.12</f>
        <v>0.28</v>
      </c>
      <c r="K184" s="329">
        <v>0.01</v>
      </c>
      <c r="L184" s="329">
        <f>ROUND(G184*H184,4)</f>
        <v>9.12</v>
      </c>
      <c r="M184" s="329">
        <f>ROUND(G184*H184*I184,4)</f>
        <v>18.24</v>
      </c>
      <c r="N184" s="329">
        <f>ROUND(G184*H184*I184*J184*K184,4)</f>
        <v>0.0511</v>
      </c>
      <c r="O184" s="329"/>
      <c r="P184" s="337"/>
      <c r="Q184" s="337"/>
      <c r="R184" s="337"/>
      <c r="S184" s="337"/>
      <c r="T184" s="337"/>
      <c r="U184" s="337"/>
      <c r="V184" s="337"/>
      <c r="W184" s="337"/>
      <c r="X184" s="339"/>
      <c r="Y184" s="339"/>
      <c r="Z184" s="339"/>
    </row>
    <row r="185" ht="16.5" customHeight="1" spans="1:26">
      <c r="A185" s="326"/>
      <c r="B185" s="327"/>
      <c r="C185" s="327"/>
      <c r="D185" s="330"/>
      <c r="E185" s="333" t="s">
        <v>274</v>
      </c>
      <c r="F185" s="330"/>
      <c r="G185" s="329"/>
      <c r="H185" s="329"/>
      <c r="I185" s="329"/>
      <c r="J185" s="329"/>
      <c r="K185" s="329"/>
      <c r="L185" s="329"/>
      <c r="M185" s="329"/>
      <c r="N185" s="329"/>
      <c r="O185" s="329"/>
      <c r="P185" s="337"/>
      <c r="Q185" s="337"/>
      <c r="R185" s="337"/>
      <c r="S185" s="337"/>
      <c r="T185" s="337"/>
      <c r="U185" s="337"/>
      <c r="V185" s="337"/>
      <c r="W185" s="337"/>
      <c r="X185" s="339"/>
      <c r="Y185" s="339"/>
      <c r="Z185" s="339"/>
    </row>
    <row r="186" ht="16.5" customHeight="1" spans="1:26">
      <c r="A186" s="326"/>
      <c r="B186" s="327"/>
      <c r="C186" s="327"/>
      <c r="D186" s="330"/>
      <c r="E186" s="333" t="s">
        <v>275</v>
      </c>
      <c r="F186" s="330"/>
      <c r="G186" s="329"/>
      <c r="H186" s="329"/>
      <c r="I186" s="329"/>
      <c r="J186" s="329"/>
      <c r="K186" s="329"/>
      <c r="L186" s="329"/>
      <c r="M186" s="329"/>
      <c r="N186" s="329"/>
      <c r="O186" s="329"/>
      <c r="P186" s="337"/>
      <c r="Q186" s="337"/>
      <c r="R186" s="337"/>
      <c r="S186" s="337"/>
      <c r="T186" s="337"/>
      <c r="U186" s="337"/>
      <c r="V186" s="337"/>
      <c r="W186" s="337"/>
      <c r="X186" s="339"/>
      <c r="Y186" s="339"/>
      <c r="Z186" s="339"/>
    </row>
    <row r="187" ht="16.5" customHeight="1" spans="1:26">
      <c r="A187" s="326"/>
      <c r="B187" s="327"/>
      <c r="C187" s="327"/>
      <c r="D187" s="330"/>
      <c r="E187" s="332" t="s">
        <v>276</v>
      </c>
      <c r="F187" s="330"/>
      <c r="G187" s="329">
        <v>2</v>
      </c>
      <c r="H187" s="329">
        <v>1.95</v>
      </c>
      <c r="I187" s="329">
        <v>2</v>
      </c>
      <c r="J187" s="329">
        <f>0.3-0.1</f>
        <v>0.2</v>
      </c>
      <c r="K187" s="329">
        <v>0.01</v>
      </c>
      <c r="L187" s="329">
        <f>ROUND(G187*H187,4)</f>
        <v>3.9</v>
      </c>
      <c r="M187" s="329">
        <f>ROUND(G187*H187*I187,4)</f>
        <v>7.8</v>
      </c>
      <c r="N187" s="329">
        <f>ROUND(G187*H187*I187*J187*K187,4)</f>
        <v>0.0156</v>
      </c>
      <c r="O187" s="329"/>
      <c r="P187" s="337"/>
      <c r="Q187" s="337"/>
      <c r="R187" s="337"/>
      <c r="S187" s="337"/>
      <c r="T187" s="337"/>
      <c r="U187" s="337"/>
      <c r="V187" s="337"/>
      <c r="W187" s="337"/>
      <c r="X187" s="339"/>
      <c r="Y187" s="339"/>
      <c r="Z187" s="339"/>
    </row>
    <row r="188" ht="16.5" customHeight="1" spans="1:26">
      <c r="A188" s="326"/>
      <c r="B188" s="327"/>
      <c r="C188" s="327"/>
      <c r="D188" s="330"/>
      <c r="E188" s="333" t="s">
        <v>277</v>
      </c>
      <c r="F188" s="330"/>
      <c r="G188" s="329"/>
      <c r="H188" s="329"/>
      <c r="I188" s="329"/>
      <c r="J188" s="329"/>
      <c r="K188" s="329"/>
      <c r="L188" s="329"/>
      <c r="M188" s="329"/>
      <c r="N188" s="329"/>
      <c r="O188" s="329"/>
      <c r="P188" s="337"/>
      <c r="Q188" s="337"/>
      <c r="R188" s="337"/>
      <c r="S188" s="337"/>
      <c r="T188" s="337"/>
      <c r="U188" s="337"/>
      <c r="V188" s="337"/>
      <c r="W188" s="337"/>
      <c r="X188" s="339"/>
      <c r="Y188" s="339"/>
      <c r="Z188" s="339"/>
    </row>
    <row r="189" ht="16.5" customHeight="1" spans="1:26">
      <c r="A189" s="326"/>
      <c r="B189" s="327"/>
      <c r="C189" s="327"/>
      <c r="D189" s="330"/>
      <c r="E189" s="332" t="s">
        <v>278</v>
      </c>
      <c r="F189" s="330"/>
      <c r="G189" s="329">
        <v>2</v>
      </c>
      <c r="H189" s="329">
        <f>5.5-0.22</f>
        <v>5.28</v>
      </c>
      <c r="I189" s="329">
        <v>2</v>
      </c>
      <c r="J189" s="329">
        <f>0.4-0.12</f>
        <v>0.28</v>
      </c>
      <c r="K189" s="329">
        <v>0.01</v>
      </c>
      <c r="L189" s="329">
        <f t="shared" ref="L189:L195" si="7">ROUND(G189*H189,4)</f>
        <v>10.56</v>
      </c>
      <c r="M189" s="329">
        <f t="shared" ref="M189:M195" si="8">ROUND(G189*H189*I189,4)</f>
        <v>21.12</v>
      </c>
      <c r="N189" s="329">
        <f t="shared" ref="N189:N195" si="9">ROUND(G189*H189*I189*J189*K189,4)</f>
        <v>0.0591</v>
      </c>
      <c r="O189" s="329"/>
      <c r="P189" s="337"/>
      <c r="Q189" s="337"/>
      <c r="R189" s="337"/>
      <c r="S189" s="337"/>
      <c r="T189" s="337"/>
      <c r="U189" s="337"/>
      <c r="V189" s="337"/>
      <c r="W189" s="337"/>
      <c r="X189" s="339"/>
      <c r="Y189" s="339"/>
      <c r="Z189" s="339"/>
    </row>
    <row r="190" ht="16.5" customHeight="1" spans="1:26">
      <c r="A190" s="326"/>
      <c r="B190" s="327"/>
      <c r="C190" s="327"/>
      <c r="D190" s="330"/>
      <c r="E190" s="332"/>
      <c r="F190" s="330"/>
      <c r="G190" s="329">
        <v>2</v>
      </c>
      <c r="H190" s="329">
        <f>6.5-3*0.22</f>
        <v>5.84</v>
      </c>
      <c r="I190" s="329">
        <v>2</v>
      </c>
      <c r="J190" s="329">
        <f>0.3-0.12</f>
        <v>0.18</v>
      </c>
      <c r="K190" s="329">
        <v>0.01</v>
      </c>
      <c r="L190" s="329">
        <f t="shared" si="7"/>
        <v>11.68</v>
      </c>
      <c r="M190" s="329">
        <f t="shared" si="8"/>
        <v>23.36</v>
      </c>
      <c r="N190" s="329">
        <f t="shared" si="9"/>
        <v>0.042</v>
      </c>
      <c r="O190" s="329"/>
      <c r="P190" s="337"/>
      <c r="Q190" s="337"/>
      <c r="R190" s="337"/>
      <c r="S190" s="337"/>
      <c r="T190" s="337"/>
      <c r="U190" s="337"/>
      <c r="V190" s="337"/>
      <c r="W190" s="337"/>
      <c r="X190" s="339"/>
      <c r="Y190" s="339"/>
      <c r="Z190" s="339"/>
    </row>
    <row r="191" ht="16.5" customHeight="1" spans="1:26">
      <c r="A191" s="326"/>
      <c r="B191" s="327"/>
      <c r="C191" s="327"/>
      <c r="D191" s="330"/>
      <c r="E191" s="332" t="s">
        <v>279</v>
      </c>
      <c r="F191" s="330"/>
      <c r="G191" s="329">
        <v>2</v>
      </c>
      <c r="H191" s="329">
        <v>0.82</v>
      </c>
      <c r="I191" s="329">
        <v>2</v>
      </c>
      <c r="J191" s="329">
        <f>0.3-0.1</f>
        <v>0.2</v>
      </c>
      <c r="K191" s="329">
        <v>0.01</v>
      </c>
      <c r="L191" s="329">
        <f t="shared" si="7"/>
        <v>1.64</v>
      </c>
      <c r="M191" s="329">
        <f t="shared" si="8"/>
        <v>3.28</v>
      </c>
      <c r="N191" s="329">
        <f t="shared" si="9"/>
        <v>0.0066</v>
      </c>
      <c r="O191" s="329"/>
      <c r="P191" s="337"/>
      <c r="Q191" s="337"/>
      <c r="R191" s="337"/>
      <c r="S191" s="337"/>
      <c r="T191" s="337"/>
      <c r="U191" s="337"/>
      <c r="V191" s="337"/>
      <c r="W191" s="337"/>
      <c r="X191" s="339"/>
      <c r="Y191" s="339"/>
      <c r="Z191" s="339"/>
    </row>
    <row r="192" ht="16.5" customHeight="1" spans="1:26">
      <c r="A192" s="326"/>
      <c r="B192" s="327"/>
      <c r="C192" s="327"/>
      <c r="D192" s="330"/>
      <c r="E192" s="332" t="s">
        <v>280</v>
      </c>
      <c r="F192" s="330"/>
      <c r="G192" s="329">
        <v>1</v>
      </c>
      <c r="H192" s="329">
        <v>2.26</v>
      </c>
      <c r="I192" s="329">
        <v>2</v>
      </c>
      <c r="J192" s="329">
        <f>0.3-0.12</f>
        <v>0.18</v>
      </c>
      <c r="K192" s="329">
        <v>0.01</v>
      </c>
      <c r="L192" s="329">
        <f t="shared" si="7"/>
        <v>2.26</v>
      </c>
      <c r="M192" s="329">
        <f t="shared" si="8"/>
        <v>4.52</v>
      </c>
      <c r="N192" s="329">
        <f t="shared" si="9"/>
        <v>0.0081</v>
      </c>
      <c r="O192" s="329"/>
      <c r="P192" s="337"/>
      <c r="Q192" s="337"/>
      <c r="R192" s="337"/>
      <c r="S192" s="337"/>
      <c r="T192" s="337"/>
      <c r="U192" s="337"/>
      <c r="V192" s="337"/>
      <c r="W192" s="337"/>
      <c r="X192" s="339"/>
      <c r="Y192" s="339"/>
      <c r="Z192" s="339"/>
    </row>
    <row r="193" ht="16.5" customHeight="1" spans="1:26">
      <c r="A193" s="326"/>
      <c r="B193" s="327"/>
      <c r="C193" s="327"/>
      <c r="D193" s="330"/>
      <c r="E193" s="332" t="s">
        <v>281</v>
      </c>
      <c r="F193" s="330"/>
      <c r="G193" s="329">
        <v>1</v>
      </c>
      <c r="H193" s="329">
        <v>2.16</v>
      </c>
      <c r="I193" s="329">
        <v>2</v>
      </c>
      <c r="J193" s="329">
        <f>0.3-0.1</f>
        <v>0.2</v>
      </c>
      <c r="K193" s="329">
        <v>0.01</v>
      </c>
      <c r="L193" s="329">
        <f t="shared" si="7"/>
        <v>2.16</v>
      </c>
      <c r="M193" s="329">
        <f t="shared" si="8"/>
        <v>4.32</v>
      </c>
      <c r="N193" s="329">
        <f t="shared" si="9"/>
        <v>0.0086</v>
      </c>
      <c r="O193" s="329"/>
      <c r="P193" s="337"/>
      <c r="Q193" s="337"/>
      <c r="R193" s="337"/>
      <c r="S193" s="337"/>
      <c r="T193" s="337"/>
      <c r="U193" s="337"/>
      <c r="V193" s="337"/>
      <c r="W193" s="337"/>
      <c r="X193" s="339"/>
      <c r="Y193" s="339"/>
      <c r="Z193" s="339"/>
    </row>
    <row r="194" ht="16.5" customHeight="1" spans="1:26">
      <c r="A194" s="326"/>
      <c r="B194" s="327"/>
      <c r="C194" s="327"/>
      <c r="D194" s="330"/>
      <c r="E194" s="332" t="s">
        <v>282</v>
      </c>
      <c r="F194" s="330"/>
      <c r="G194" s="329">
        <v>3</v>
      </c>
      <c r="H194" s="329">
        <v>4.56</v>
      </c>
      <c r="I194" s="329">
        <v>2</v>
      </c>
      <c r="J194" s="329">
        <f>0.4-0.12</f>
        <v>0.28</v>
      </c>
      <c r="K194" s="329">
        <v>0.01</v>
      </c>
      <c r="L194" s="329">
        <f t="shared" si="7"/>
        <v>13.68</v>
      </c>
      <c r="M194" s="329">
        <f t="shared" si="8"/>
        <v>27.36</v>
      </c>
      <c r="N194" s="329">
        <f t="shared" si="9"/>
        <v>0.0766</v>
      </c>
      <c r="O194" s="329"/>
      <c r="P194" s="337"/>
      <c r="Q194" s="337"/>
      <c r="R194" s="337"/>
      <c r="S194" s="337"/>
      <c r="T194" s="337"/>
      <c r="U194" s="337"/>
      <c r="V194" s="337"/>
      <c r="W194" s="337"/>
      <c r="X194" s="339"/>
      <c r="Y194" s="339"/>
      <c r="Z194" s="339"/>
    </row>
    <row r="195" ht="16.5" customHeight="1" spans="1:26">
      <c r="A195" s="326"/>
      <c r="B195" s="327"/>
      <c r="C195" s="327"/>
      <c r="D195" s="330"/>
      <c r="E195" s="332" t="s">
        <v>283</v>
      </c>
      <c r="F195" s="330"/>
      <c r="G195" s="329">
        <v>1</v>
      </c>
      <c r="H195" s="329">
        <v>4.56</v>
      </c>
      <c r="I195" s="329">
        <v>2</v>
      </c>
      <c r="J195" s="329">
        <f>0.4-0.12</f>
        <v>0.28</v>
      </c>
      <c r="K195" s="329">
        <v>0.01</v>
      </c>
      <c r="L195" s="329">
        <f t="shared" si="7"/>
        <v>4.56</v>
      </c>
      <c r="M195" s="329">
        <f t="shared" si="8"/>
        <v>9.12</v>
      </c>
      <c r="N195" s="329">
        <f t="shared" si="9"/>
        <v>0.0255</v>
      </c>
      <c r="O195" s="329"/>
      <c r="P195" s="337"/>
      <c r="Q195" s="337"/>
      <c r="R195" s="337"/>
      <c r="S195" s="337"/>
      <c r="T195" s="337"/>
      <c r="U195" s="337"/>
      <c r="V195" s="337"/>
      <c r="W195" s="337"/>
      <c r="X195" s="339"/>
      <c r="Y195" s="339"/>
      <c r="Z195" s="339"/>
    </row>
    <row r="196" ht="16.5" customHeight="1" spans="1:26">
      <c r="A196" s="326"/>
      <c r="B196" s="327"/>
      <c r="C196" s="327"/>
      <c r="D196" s="330"/>
      <c r="E196" s="333" t="s">
        <v>284</v>
      </c>
      <c r="F196" s="330"/>
      <c r="G196" s="329"/>
      <c r="H196" s="329"/>
      <c r="I196" s="329"/>
      <c r="J196" s="329"/>
      <c r="K196" s="329"/>
      <c r="L196" s="329"/>
      <c r="M196" s="329"/>
      <c r="N196" s="329"/>
      <c r="O196" s="329"/>
      <c r="P196" s="337"/>
      <c r="Q196" s="337"/>
      <c r="R196" s="337"/>
      <c r="S196" s="337"/>
      <c r="T196" s="337"/>
      <c r="U196" s="337"/>
      <c r="V196" s="337"/>
      <c r="W196" s="337"/>
      <c r="X196" s="339"/>
      <c r="Y196" s="339"/>
      <c r="Z196" s="339"/>
    </row>
    <row r="197" ht="16.5" customHeight="1" spans="1:26">
      <c r="A197" s="326"/>
      <c r="B197" s="327"/>
      <c r="C197" s="327"/>
      <c r="D197" s="330"/>
      <c r="E197" s="332" t="s">
        <v>285</v>
      </c>
      <c r="F197" s="330"/>
      <c r="G197" s="329">
        <v>2</v>
      </c>
      <c r="H197" s="329">
        <f>10.91-0.22*4</f>
        <v>10.03</v>
      </c>
      <c r="I197" s="329">
        <v>2</v>
      </c>
      <c r="J197" s="329">
        <v>0.3</v>
      </c>
      <c r="K197" s="329">
        <v>0.01</v>
      </c>
      <c r="L197" s="329">
        <f>ROUND(G197*H197,4)</f>
        <v>20.06</v>
      </c>
      <c r="M197" s="329">
        <f>ROUND(G197*H197*I197,4)</f>
        <v>40.12</v>
      </c>
      <c r="N197" s="329">
        <f>ROUND(G197*H197*I197*J197*K197,4)</f>
        <v>0.1204</v>
      </c>
      <c r="O197" s="329"/>
      <c r="P197" s="337"/>
      <c r="Q197" s="337"/>
      <c r="R197" s="337"/>
      <c r="S197" s="337"/>
      <c r="T197" s="337"/>
      <c r="U197" s="337"/>
      <c r="V197" s="337"/>
      <c r="W197" s="337"/>
      <c r="X197" s="339"/>
      <c r="Y197" s="339"/>
      <c r="Z197" s="339"/>
    </row>
    <row r="198" ht="16.5" customHeight="1" spans="1:26">
      <c r="A198" s="326"/>
      <c r="B198" s="327"/>
      <c r="C198" s="327"/>
      <c r="D198" s="330"/>
      <c r="E198" s="332" t="s">
        <v>286</v>
      </c>
      <c r="F198" s="330"/>
      <c r="G198" s="329">
        <v>4</v>
      </c>
      <c r="H198" s="329">
        <v>4.56</v>
      </c>
      <c r="I198" s="329">
        <v>2</v>
      </c>
      <c r="J198" s="329">
        <v>0.3</v>
      </c>
      <c r="K198" s="329">
        <v>0.01</v>
      </c>
      <c r="L198" s="329">
        <f>ROUND(G198*H198,4)</f>
        <v>18.24</v>
      </c>
      <c r="M198" s="329">
        <f>ROUND(G198*H198*I198,4)</f>
        <v>36.48</v>
      </c>
      <c r="N198" s="329">
        <f>ROUND(G198*H198*I198*J198*K198,4)</f>
        <v>0.1094</v>
      </c>
      <c r="O198" s="329"/>
      <c r="P198" s="337"/>
      <c r="Q198" s="337"/>
      <c r="R198" s="337"/>
      <c r="S198" s="337"/>
      <c r="T198" s="337"/>
      <c r="U198" s="337"/>
      <c r="V198" s="337"/>
      <c r="W198" s="337"/>
      <c r="X198" s="339"/>
      <c r="Y198" s="339"/>
      <c r="Z198" s="339"/>
    </row>
    <row r="199" ht="60.75" customHeight="1" spans="1:37">
      <c r="A199" s="326">
        <v>7</v>
      </c>
      <c r="B199" s="327" t="s">
        <v>252</v>
      </c>
      <c r="C199" s="327"/>
      <c r="D199" s="330" t="s">
        <v>252</v>
      </c>
      <c r="E199" s="331" t="s">
        <v>253</v>
      </c>
      <c r="F199" s="330" t="s">
        <v>107</v>
      </c>
      <c r="G199" s="329"/>
      <c r="H199" s="329"/>
      <c r="I199" s="329"/>
      <c r="J199" s="329"/>
      <c r="K199" s="329"/>
      <c r="L199" s="329">
        <f>ROUND(SUM(L200:L233),4)</f>
        <v>225.778</v>
      </c>
      <c r="M199" s="329">
        <f>ROUND(SUM(M200:M233),4)</f>
        <v>49.6712</v>
      </c>
      <c r="N199" s="329"/>
      <c r="O199" s="329">
        <f>ROUND(SUM(N199:N233),4)</f>
        <v>0.4967</v>
      </c>
      <c r="P199" s="337">
        <v>679980</v>
      </c>
      <c r="Q199" s="337"/>
      <c r="R199" s="337">
        <v>5529940</v>
      </c>
      <c r="S199" s="337">
        <v>651440</v>
      </c>
      <c r="T199" s="337">
        <f>ROUND(ROUND(O199,4)*P199,0)</f>
        <v>337746</v>
      </c>
      <c r="U199" s="337">
        <f>ROUND(ROUND(O199,4)*Q199,0)</f>
        <v>0</v>
      </c>
      <c r="V199" s="337">
        <f>ROUND(ROUND(O199,4)*R199,0)</f>
        <v>2746721</v>
      </c>
      <c r="W199" s="337">
        <f>ROUND(ROUND(O199,4)*S199,0)</f>
        <v>323570</v>
      </c>
      <c r="X199" s="339"/>
      <c r="Y199" s="339"/>
      <c r="Z199" s="339"/>
      <c r="AA199" s="325" t="s">
        <v>47</v>
      </c>
      <c r="AB199" s="325" t="s">
        <v>48</v>
      </c>
      <c r="AC199" s="324" t="s">
        <v>254</v>
      </c>
      <c r="AD199" s="324" t="s">
        <v>255</v>
      </c>
      <c r="AE199" s="324" t="s">
        <v>214</v>
      </c>
      <c r="AK199" s="325" t="s">
        <v>51</v>
      </c>
    </row>
    <row r="200" ht="16.5" customHeight="1" spans="1:26">
      <c r="A200" s="326"/>
      <c r="B200" s="327"/>
      <c r="C200" s="327"/>
      <c r="D200" s="330"/>
      <c r="E200" s="333" t="s">
        <v>287</v>
      </c>
      <c r="F200" s="330"/>
      <c r="G200" s="329"/>
      <c r="H200" s="329"/>
      <c r="I200" s="329"/>
      <c r="J200" s="329"/>
      <c r="K200" s="329"/>
      <c r="L200" s="329"/>
      <c r="M200" s="329"/>
      <c r="N200" s="329"/>
      <c r="O200" s="329"/>
      <c r="P200" s="337"/>
      <c r="Q200" s="337"/>
      <c r="R200" s="337"/>
      <c r="S200" s="337"/>
      <c r="T200" s="337"/>
      <c r="U200" s="337"/>
      <c r="V200" s="337"/>
      <c r="W200" s="337"/>
      <c r="X200" s="339"/>
      <c r="Y200" s="339"/>
      <c r="Z200" s="339"/>
    </row>
    <row r="201" ht="16.5" customHeight="1" spans="1:26">
      <c r="A201" s="326"/>
      <c r="B201" s="327"/>
      <c r="C201" s="327"/>
      <c r="D201" s="330"/>
      <c r="E201" s="333" t="s">
        <v>257</v>
      </c>
      <c r="F201" s="330"/>
      <c r="G201" s="329"/>
      <c r="H201" s="329"/>
      <c r="I201" s="329"/>
      <c r="J201" s="329"/>
      <c r="K201" s="329"/>
      <c r="L201" s="329"/>
      <c r="M201" s="329"/>
      <c r="N201" s="329"/>
      <c r="O201" s="329"/>
      <c r="P201" s="337"/>
      <c r="Q201" s="337"/>
      <c r="R201" s="337"/>
      <c r="S201" s="337"/>
      <c r="T201" s="337"/>
      <c r="U201" s="337"/>
      <c r="V201" s="337"/>
      <c r="W201" s="337"/>
      <c r="X201" s="339"/>
      <c r="Y201" s="339"/>
      <c r="Z201" s="339"/>
    </row>
    <row r="202" ht="16.5" customHeight="1" spans="1:26">
      <c r="A202" s="326"/>
      <c r="B202" s="327"/>
      <c r="C202" s="327"/>
      <c r="D202" s="330"/>
      <c r="E202" s="332" t="s">
        <v>258</v>
      </c>
      <c r="F202" s="330"/>
      <c r="G202" s="329">
        <v>2</v>
      </c>
      <c r="H202" s="329">
        <f>5.5-0.22</f>
        <v>5.28</v>
      </c>
      <c r="I202" s="329">
        <v>0.22</v>
      </c>
      <c r="J202" s="329"/>
      <c r="K202" s="329">
        <v>0.01</v>
      </c>
      <c r="L202" s="329">
        <f>ROUND(G202*H202,4)</f>
        <v>10.56</v>
      </c>
      <c r="M202" s="329">
        <f>ROUND(G202*H202*I202,4)</f>
        <v>2.3232</v>
      </c>
      <c r="N202" s="329">
        <f>ROUND(G202*H202*I202*K202,4)</f>
        <v>0.0232</v>
      </c>
      <c r="O202" s="329"/>
      <c r="P202" s="337"/>
      <c r="Q202" s="337"/>
      <c r="R202" s="337"/>
      <c r="S202" s="337"/>
      <c r="T202" s="337"/>
      <c r="U202" s="337"/>
      <c r="V202" s="337"/>
      <c r="W202" s="337"/>
      <c r="X202" s="339"/>
      <c r="Y202" s="339"/>
      <c r="Z202" s="339"/>
    </row>
    <row r="203" ht="16.5" customHeight="1" spans="1:26">
      <c r="A203" s="326"/>
      <c r="B203" s="327"/>
      <c r="C203" s="327"/>
      <c r="D203" s="330"/>
      <c r="E203" s="332"/>
      <c r="F203" s="330"/>
      <c r="G203" s="329">
        <v>2</v>
      </c>
      <c r="H203" s="329">
        <f>6.5-3*0.22</f>
        <v>5.84</v>
      </c>
      <c r="I203" s="329">
        <v>0.22</v>
      </c>
      <c r="J203" s="329"/>
      <c r="K203" s="329">
        <v>0.01</v>
      </c>
      <c r="L203" s="329">
        <f>ROUND(G203*H203,4)</f>
        <v>11.68</v>
      </c>
      <c r="M203" s="329">
        <f>ROUND(G203*H203*I203,4)</f>
        <v>2.5696</v>
      </c>
      <c r="N203" s="329">
        <f>ROUND(G203*H203*I203*K203,4)</f>
        <v>0.0257</v>
      </c>
      <c r="O203" s="329"/>
      <c r="P203" s="337"/>
      <c r="Q203" s="337"/>
      <c r="R203" s="337"/>
      <c r="S203" s="337"/>
      <c r="T203" s="337"/>
      <c r="U203" s="337"/>
      <c r="V203" s="337"/>
      <c r="W203" s="337"/>
      <c r="X203" s="339"/>
      <c r="Y203" s="339"/>
      <c r="Z203" s="339"/>
    </row>
    <row r="204" ht="16.5" customHeight="1" spans="1:26">
      <c r="A204" s="326"/>
      <c r="B204" s="327"/>
      <c r="C204" s="327"/>
      <c r="D204" s="330"/>
      <c r="E204" s="333" t="s">
        <v>259</v>
      </c>
      <c r="F204" s="330"/>
      <c r="G204" s="329"/>
      <c r="H204" s="329"/>
      <c r="I204" s="329"/>
      <c r="J204" s="329"/>
      <c r="K204" s="329"/>
      <c r="L204" s="329"/>
      <c r="M204" s="329"/>
      <c r="N204" s="329"/>
      <c r="O204" s="329"/>
      <c r="P204" s="337"/>
      <c r="Q204" s="337"/>
      <c r="R204" s="337"/>
      <c r="S204" s="337"/>
      <c r="T204" s="337"/>
      <c r="U204" s="337"/>
      <c r="V204" s="337"/>
      <c r="W204" s="337"/>
      <c r="X204" s="339"/>
      <c r="Y204" s="339"/>
      <c r="Z204" s="339"/>
    </row>
    <row r="205" ht="16.5" customHeight="1" spans="1:26">
      <c r="A205" s="326"/>
      <c r="B205" s="327"/>
      <c r="C205" s="327"/>
      <c r="D205" s="330"/>
      <c r="E205" s="333" t="s">
        <v>260</v>
      </c>
      <c r="F205" s="330"/>
      <c r="G205" s="329"/>
      <c r="H205" s="329"/>
      <c r="I205" s="329"/>
      <c r="J205" s="329"/>
      <c r="K205" s="329"/>
      <c r="L205" s="329"/>
      <c r="M205" s="329"/>
      <c r="N205" s="329"/>
      <c r="O205" s="329"/>
      <c r="P205" s="337"/>
      <c r="Q205" s="337"/>
      <c r="R205" s="337"/>
      <c r="S205" s="337"/>
      <c r="T205" s="337"/>
      <c r="U205" s="337"/>
      <c r="V205" s="337"/>
      <c r="W205" s="337"/>
      <c r="X205" s="339"/>
      <c r="Y205" s="339"/>
      <c r="Z205" s="339"/>
    </row>
    <row r="206" ht="16.5" customHeight="1" spans="1:26">
      <c r="A206" s="326"/>
      <c r="B206" s="327"/>
      <c r="C206" s="327"/>
      <c r="D206" s="330"/>
      <c r="E206" s="332" t="s">
        <v>261</v>
      </c>
      <c r="F206" s="330"/>
      <c r="G206" s="329">
        <v>1</v>
      </c>
      <c r="H206" s="329">
        <v>2.26</v>
      </c>
      <c r="I206" s="329">
        <v>0.22</v>
      </c>
      <c r="J206" s="329"/>
      <c r="K206" s="329">
        <v>0.01</v>
      </c>
      <c r="L206" s="329">
        <f>ROUND(G206*H206,4)</f>
        <v>2.26</v>
      </c>
      <c r="M206" s="329">
        <f>ROUND(G206*H206*I206,4)</f>
        <v>0.4972</v>
      </c>
      <c r="N206" s="329">
        <f>ROUND(G206*H206*I206*K206,4)</f>
        <v>0.005</v>
      </c>
      <c r="O206" s="329"/>
      <c r="P206" s="337"/>
      <c r="Q206" s="337"/>
      <c r="R206" s="337"/>
      <c r="S206" s="337"/>
      <c r="T206" s="337"/>
      <c r="U206" s="337"/>
      <c r="V206" s="337"/>
      <c r="W206" s="337"/>
      <c r="X206" s="339"/>
      <c r="Y206" s="339"/>
      <c r="Z206" s="339"/>
    </row>
    <row r="207" ht="16.5" customHeight="1" spans="1:26">
      <c r="A207" s="326"/>
      <c r="B207" s="327"/>
      <c r="C207" s="327"/>
      <c r="D207" s="330"/>
      <c r="E207" s="332" t="s">
        <v>262</v>
      </c>
      <c r="F207" s="330"/>
      <c r="G207" s="329">
        <v>2</v>
      </c>
      <c r="H207" s="329">
        <v>1.054</v>
      </c>
      <c r="I207" s="329">
        <v>0.22</v>
      </c>
      <c r="J207" s="329"/>
      <c r="K207" s="329">
        <v>0.01</v>
      </c>
      <c r="L207" s="329">
        <f>ROUND(G207*H207,4)</f>
        <v>2.108</v>
      </c>
      <c r="M207" s="329">
        <f>ROUND(G207*H207*I207,4)</f>
        <v>0.4638</v>
      </c>
      <c r="N207" s="329">
        <f>ROUND(G207*H207*I207*K207,4)</f>
        <v>0.0046</v>
      </c>
      <c r="O207" s="329"/>
      <c r="P207" s="337"/>
      <c r="Q207" s="337"/>
      <c r="R207" s="337"/>
      <c r="S207" s="337"/>
      <c r="T207" s="337"/>
      <c r="U207" s="337"/>
      <c r="V207" s="337"/>
      <c r="W207" s="337"/>
      <c r="X207" s="339"/>
      <c r="Y207" s="339"/>
      <c r="Z207" s="339"/>
    </row>
    <row r="208" ht="16.5" customHeight="1" spans="1:26">
      <c r="A208" s="326"/>
      <c r="B208" s="327"/>
      <c r="C208" s="327"/>
      <c r="D208" s="330"/>
      <c r="E208" s="332" t="s">
        <v>263</v>
      </c>
      <c r="F208" s="330"/>
      <c r="G208" s="329">
        <v>4</v>
      </c>
      <c r="H208" s="329">
        <v>4.56</v>
      </c>
      <c r="I208" s="329">
        <v>0.22</v>
      </c>
      <c r="J208" s="329"/>
      <c r="K208" s="329">
        <v>0.01</v>
      </c>
      <c r="L208" s="329">
        <f>ROUND(G208*H208,4)</f>
        <v>18.24</v>
      </c>
      <c r="M208" s="329">
        <f>ROUND(G208*H208*I208,4)</f>
        <v>4.0128</v>
      </c>
      <c r="N208" s="329">
        <f>ROUND(G208*H208*I208*K208,4)</f>
        <v>0.0401</v>
      </c>
      <c r="O208" s="329"/>
      <c r="P208" s="337"/>
      <c r="Q208" s="337"/>
      <c r="R208" s="337"/>
      <c r="S208" s="337"/>
      <c r="T208" s="337"/>
      <c r="U208" s="337"/>
      <c r="V208" s="337"/>
      <c r="W208" s="337"/>
      <c r="X208" s="339"/>
      <c r="Y208" s="339"/>
      <c r="Z208" s="339"/>
    </row>
    <row r="209" ht="16.5" customHeight="1" spans="1:26">
      <c r="A209" s="326"/>
      <c r="B209" s="327"/>
      <c r="C209" s="327"/>
      <c r="D209" s="330"/>
      <c r="E209" s="333" t="s">
        <v>264</v>
      </c>
      <c r="F209" s="330"/>
      <c r="G209" s="329"/>
      <c r="H209" s="329"/>
      <c r="I209" s="329"/>
      <c r="J209" s="329"/>
      <c r="K209" s="329"/>
      <c r="L209" s="329"/>
      <c r="M209" s="329"/>
      <c r="N209" s="329"/>
      <c r="O209" s="329"/>
      <c r="P209" s="337"/>
      <c r="Q209" s="337"/>
      <c r="R209" s="337"/>
      <c r="S209" s="337"/>
      <c r="T209" s="337"/>
      <c r="U209" s="337"/>
      <c r="V209" s="337"/>
      <c r="W209" s="337"/>
      <c r="X209" s="339"/>
      <c r="Y209" s="339"/>
      <c r="Z209" s="339"/>
    </row>
    <row r="210" ht="16.5" customHeight="1" spans="1:26">
      <c r="A210" s="326"/>
      <c r="B210" s="327"/>
      <c r="C210" s="327"/>
      <c r="D210" s="330"/>
      <c r="E210" s="332" t="s">
        <v>265</v>
      </c>
      <c r="F210" s="330"/>
      <c r="G210" s="329">
        <v>1</v>
      </c>
      <c r="H210" s="329">
        <v>4.05</v>
      </c>
      <c r="I210" s="329">
        <v>0.22</v>
      </c>
      <c r="J210" s="329"/>
      <c r="K210" s="329">
        <v>0.01</v>
      </c>
      <c r="L210" s="329">
        <f>ROUND(G210*H210,4)</f>
        <v>4.05</v>
      </c>
      <c r="M210" s="329">
        <f>ROUND(G210*H210*I210,4)</f>
        <v>0.891</v>
      </c>
      <c r="N210" s="329">
        <f>ROUND(G210*H210*I210*K210,4)</f>
        <v>0.0089</v>
      </c>
      <c r="O210" s="329"/>
      <c r="P210" s="337"/>
      <c r="Q210" s="337"/>
      <c r="R210" s="337"/>
      <c r="S210" s="337"/>
      <c r="T210" s="337"/>
      <c r="U210" s="337"/>
      <c r="V210" s="337"/>
      <c r="W210" s="337"/>
      <c r="X210" s="339"/>
      <c r="Y210" s="339"/>
      <c r="Z210" s="339"/>
    </row>
    <row r="211" ht="16.5" customHeight="1" spans="1:26">
      <c r="A211" s="326"/>
      <c r="B211" s="327"/>
      <c r="C211" s="327"/>
      <c r="D211" s="330"/>
      <c r="E211" s="333" t="s">
        <v>266</v>
      </c>
      <c r="F211" s="330"/>
      <c r="G211" s="329"/>
      <c r="H211" s="329"/>
      <c r="I211" s="329"/>
      <c r="J211" s="329"/>
      <c r="K211" s="329"/>
      <c r="L211" s="329"/>
      <c r="M211" s="329"/>
      <c r="N211" s="329"/>
      <c r="O211" s="329"/>
      <c r="P211" s="337"/>
      <c r="Q211" s="337"/>
      <c r="R211" s="337"/>
      <c r="S211" s="337"/>
      <c r="T211" s="337"/>
      <c r="U211" s="337"/>
      <c r="V211" s="337"/>
      <c r="W211" s="337"/>
      <c r="X211" s="339"/>
      <c r="Y211" s="339"/>
      <c r="Z211" s="339"/>
    </row>
    <row r="212" ht="16.5" customHeight="1" spans="1:26">
      <c r="A212" s="326"/>
      <c r="B212" s="327"/>
      <c r="C212" s="327"/>
      <c r="D212" s="330"/>
      <c r="E212" s="332" t="s">
        <v>267</v>
      </c>
      <c r="F212" s="330"/>
      <c r="G212" s="329">
        <v>4</v>
      </c>
      <c r="H212" s="329">
        <f>5.5-0.22</f>
        <v>5.28</v>
      </c>
      <c r="I212" s="329">
        <v>0.22</v>
      </c>
      <c r="J212" s="329"/>
      <c r="K212" s="329">
        <v>0.01</v>
      </c>
      <c r="L212" s="329">
        <f>ROUND(G212*H212,4)</f>
        <v>21.12</v>
      </c>
      <c r="M212" s="329">
        <f>ROUND(G212*H212*I212,4)</f>
        <v>4.6464</v>
      </c>
      <c r="N212" s="329">
        <f>ROUND(G212*H212*I212*K212,4)</f>
        <v>0.0465</v>
      </c>
      <c r="O212" s="329"/>
      <c r="P212" s="337"/>
      <c r="Q212" s="337"/>
      <c r="R212" s="337"/>
      <c r="S212" s="337"/>
      <c r="T212" s="337"/>
      <c r="U212" s="337"/>
      <c r="V212" s="337"/>
      <c r="W212" s="337"/>
      <c r="X212" s="339"/>
      <c r="Y212" s="339"/>
      <c r="Z212" s="339"/>
    </row>
    <row r="213" ht="16.5" customHeight="1" spans="1:26">
      <c r="A213" s="326"/>
      <c r="B213" s="327"/>
      <c r="C213" s="327"/>
      <c r="D213" s="330"/>
      <c r="E213" s="332"/>
      <c r="F213" s="330"/>
      <c r="G213" s="329">
        <v>4</v>
      </c>
      <c r="H213" s="329">
        <f>6.5-3*0.22</f>
        <v>5.84</v>
      </c>
      <c r="I213" s="329">
        <v>0.22</v>
      </c>
      <c r="J213" s="329"/>
      <c r="K213" s="329">
        <v>0.01</v>
      </c>
      <c r="L213" s="329">
        <f>ROUND(G213*H213,4)</f>
        <v>23.36</v>
      </c>
      <c r="M213" s="329">
        <f>ROUND(G213*H213*I213,4)</f>
        <v>5.1392</v>
      </c>
      <c r="N213" s="329">
        <f>ROUND(G213*H213*I213*K213,4)</f>
        <v>0.0514</v>
      </c>
      <c r="O213" s="329"/>
      <c r="P213" s="337"/>
      <c r="Q213" s="337"/>
      <c r="R213" s="337"/>
      <c r="S213" s="337"/>
      <c r="T213" s="337"/>
      <c r="U213" s="337"/>
      <c r="V213" s="337"/>
      <c r="W213" s="337"/>
      <c r="X213" s="339"/>
      <c r="Y213" s="339"/>
      <c r="Z213" s="339"/>
    </row>
    <row r="214" ht="16.5" customHeight="1" spans="1:26">
      <c r="A214" s="326"/>
      <c r="B214" s="327"/>
      <c r="C214" s="327"/>
      <c r="D214" s="330"/>
      <c r="E214" s="333" t="s">
        <v>268</v>
      </c>
      <c r="F214" s="330"/>
      <c r="G214" s="329"/>
      <c r="H214" s="329"/>
      <c r="I214" s="329"/>
      <c r="J214" s="329"/>
      <c r="K214" s="329"/>
      <c r="L214" s="329"/>
      <c r="M214" s="329"/>
      <c r="N214" s="329"/>
      <c r="O214" s="329"/>
      <c r="P214" s="337"/>
      <c r="Q214" s="337"/>
      <c r="R214" s="337"/>
      <c r="S214" s="337"/>
      <c r="T214" s="337"/>
      <c r="U214" s="337"/>
      <c r="V214" s="337"/>
      <c r="W214" s="337"/>
      <c r="X214" s="339"/>
      <c r="Y214" s="339"/>
      <c r="Z214" s="339"/>
    </row>
    <row r="215" ht="16.5" customHeight="1" spans="1:26">
      <c r="A215" s="326"/>
      <c r="B215" s="327"/>
      <c r="C215" s="327"/>
      <c r="D215" s="330"/>
      <c r="E215" s="333" t="s">
        <v>269</v>
      </c>
      <c r="F215" s="330"/>
      <c r="G215" s="329"/>
      <c r="H215" s="329"/>
      <c r="I215" s="329"/>
      <c r="J215" s="329"/>
      <c r="K215" s="329"/>
      <c r="L215" s="329"/>
      <c r="M215" s="329"/>
      <c r="N215" s="329"/>
      <c r="O215" s="329"/>
      <c r="P215" s="337"/>
      <c r="Q215" s="337"/>
      <c r="R215" s="337"/>
      <c r="S215" s="337"/>
      <c r="T215" s="337"/>
      <c r="U215" s="337"/>
      <c r="V215" s="337"/>
      <c r="W215" s="337"/>
      <c r="X215" s="339"/>
      <c r="Y215" s="339"/>
      <c r="Z215" s="339"/>
    </row>
    <row r="216" ht="16.5" customHeight="1" spans="1:26">
      <c r="A216" s="326"/>
      <c r="B216" s="327"/>
      <c r="C216" s="327"/>
      <c r="D216" s="330"/>
      <c r="E216" s="332" t="s">
        <v>270</v>
      </c>
      <c r="F216" s="330"/>
      <c r="G216" s="329">
        <v>2</v>
      </c>
      <c r="H216" s="329">
        <v>2.26</v>
      </c>
      <c r="I216" s="329">
        <v>0.22</v>
      </c>
      <c r="J216" s="329"/>
      <c r="K216" s="329">
        <v>0.01</v>
      </c>
      <c r="L216" s="329">
        <f>ROUND(G216*H216,4)</f>
        <v>4.52</v>
      </c>
      <c r="M216" s="329">
        <f>ROUND(G216*H216*I216,4)</f>
        <v>0.9944</v>
      </c>
      <c r="N216" s="329">
        <f>ROUND(G216*H216*I216*K216,4)</f>
        <v>0.0099</v>
      </c>
      <c r="O216" s="329"/>
      <c r="P216" s="337"/>
      <c r="Q216" s="337"/>
      <c r="R216" s="337"/>
      <c r="S216" s="337"/>
      <c r="T216" s="337"/>
      <c r="U216" s="337"/>
      <c r="V216" s="337"/>
      <c r="W216" s="337"/>
      <c r="X216" s="339"/>
      <c r="Y216" s="339"/>
      <c r="Z216" s="339"/>
    </row>
    <row r="217" ht="16.5" customHeight="1" spans="1:26">
      <c r="A217" s="326"/>
      <c r="B217" s="327"/>
      <c r="C217" s="327"/>
      <c r="D217" s="330"/>
      <c r="E217" s="332" t="s">
        <v>271</v>
      </c>
      <c r="F217" s="330"/>
      <c r="G217" s="329">
        <v>4</v>
      </c>
      <c r="H217" s="329">
        <v>0.665</v>
      </c>
      <c r="I217" s="329">
        <v>0.22</v>
      </c>
      <c r="J217" s="329"/>
      <c r="K217" s="329">
        <v>0.01</v>
      </c>
      <c r="L217" s="329">
        <f>ROUND(G217*H217,4)</f>
        <v>2.66</v>
      </c>
      <c r="M217" s="329">
        <f>ROUND(G217*H217*I217,4)</f>
        <v>0.5852</v>
      </c>
      <c r="N217" s="329">
        <f>ROUND(G217*H217*I217*K217,4)</f>
        <v>0.0059</v>
      </c>
      <c r="O217" s="329"/>
      <c r="P217" s="337"/>
      <c r="Q217" s="337"/>
      <c r="R217" s="337"/>
      <c r="S217" s="337"/>
      <c r="T217" s="337"/>
      <c r="U217" s="337"/>
      <c r="V217" s="337"/>
      <c r="W217" s="337"/>
      <c r="X217" s="339"/>
      <c r="Y217" s="339"/>
      <c r="Z217" s="339"/>
    </row>
    <row r="218" ht="16.5" customHeight="1" spans="1:26">
      <c r="A218" s="326"/>
      <c r="B218" s="327"/>
      <c r="C218" s="327"/>
      <c r="D218" s="330"/>
      <c r="E218" s="332" t="s">
        <v>272</v>
      </c>
      <c r="F218" s="330"/>
      <c r="G218" s="329">
        <v>6</v>
      </c>
      <c r="H218" s="329">
        <v>4.56</v>
      </c>
      <c r="I218" s="329">
        <v>0.22</v>
      </c>
      <c r="J218" s="329"/>
      <c r="K218" s="329">
        <v>0.01</v>
      </c>
      <c r="L218" s="329">
        <f>ROUND(G218*H218,4)</f>
        <v>27.36</v>
      </c>
      <c r="M218" s="329">
        <f>ROUND(G218*H218*I218,4)</f>
        <v>6.0192</v>
      </c>
      <c r="N218" s="329">
        <f>ROUND(G218*H218*I218*K218,4)</f>
        <v>0.0602</v>
      </c>
      <c r="O218" s="329"/>
      <c r="P218" s="337"/>
      <c r="Q218" s="337"/>
      <c r="R218" s="337"/>
      <c r="S218" s="337"/>
      <c r="T218" s="337"/>
      <c r="U218" s="337"/>
      <c r="V218" s="337"/>
      <c r="W218" s="337"/>
      <c r="X218" s="339"/>
      <c r="Y218" s="339"/>
      <c r="Z218" s="339"/>
    </row>
    <row r="219" ht="16.5" customHeight="1" spans="1:26">
      <c r="A219" s="326"/>
      <c r="B219" s="327"/>
      <c r="C219" s="327"/>
      <c r="D219" s="330"/>
      <c r="E219" s="332" t="s">
        <v>273</v>
      </c>
      <c r="F219" s="330"/>
      <c r="G219" s="329">
        <v>2</v>
      </c>
      <c r="H219" s="329">
        <v>4.56</v>
      </c>
      <c r="I219" s="329">
        <v>0.22</v>
      </c>
      <c r="J219" s="329"/>
      <c r="K219" s="329">
        <v>0.01</v>
      </c>
      <c r="L219" s="329">
        <f>ROUND(G219*H219,4)</f>
        <v>9.12</v>
      </c>
      <c r="M219" s="329">
        <f>ROUND(G219*H219*I219,4)</f>
        <v>2.0064</v>
      </c>
      <c r="N219" s="329">
        <f>ROUND(G219*H219*I219*K219,4)</f>
        <v>0.0201</v>
      </c>
      <c r="O219" s="329"/>
      <c r="P219" s="337"/>
      <c r="Q219" s="337"/>
      <c r="R219" s="337"/>
      <c r="S219" s="337"/>
      <c r="T219" s="337"/>
      <c r="U219" s="337"/>
      <c r="V219" s="337"/>
      <c r="W219" s="337"/>
      <c r="X219" s="339"/>
      <c r="Y219" s="339"/>
      <c r="Z219" s="339"/>
    </row>
    <row r="220" ht="16.5" customHeight="1" spans="1:26">
      <c r="A220" s="326"/>
      <c r="B220" s="327"/>
      <c r="C220" s="327"/>
      <c r="D220" s="330"/>
      <c r="E220" s="333" t="s">
        <v>274</v>
      </c>
      <c r="F220" s="330"/>
      <c r="G220" s="329"/>
      <c r="H220" s="329"/>
      <c r="I220" s="329"/>
      <c r="J220" s="329"/>
      <c r="K220" s="329"/>
      <c r="L220" s="329"/>
      <c r="M220" s="329"/>
      <c r="N220" s="329"/>
      <c r="O220" s="329"/>
      <c r="P220" s="337"/>
      <c r="Q220" s="337"/>
      <c r="R220" s="337"/>
      <c r="S220" s="337"/>
      <c r="T220" s="337"/>
      <c r="U220" s="337"/>
      <c r="V220" s="337"/>
      <c r="W220" s="337"/>
      <c r="X220" s="339"/>
      <c r="Y220" s="339"/>
      <c r="Z220" s="339"/>
    </row>
    <row r="221" ht="16.5" customHeight="1" spans="1:26">
      <c r="A221" s="326"/>
      <c r="B221" s="327"/>
      <c r="C221" s="327"/>
      <c r="D221" s="330"/>
      <c r="E221" s="333" t="s">
        <v>275</v>
      </c>
      <c r="F221" s="330"/>
      <c r="G221" s="329"/>
      <c r="H221" s="329"/>
      <c r="I221" s="329"/>
      <c r="J221" s="329"/>
      <c r="K221" s="329"/>
      <c r="L221" s="329"/>
      <c r="M221" s="329"/>
      <c r="N221" s="329"/>
      <c r="O221" s="329"/>
      <c r="P221" s="337"/>
      <c r="Q221" s="337"/>
      <c r="R221" s="337"/>
      <c r="S221" s="337"/>
      <c r="T221" s="337"/>
      <c r="U221" s="337"/>
      <c r="V221" s="337"/>
      <c r="W221" s="337"/>
      <c r="X221" s="339"/>
      <c r="Y221" s="339"/>
      <c r="Z221" s="339"/>
    </row>
    <row r="222" ht="16.5" customHeight="1" spans="1:26">
      <c r="A222" s="326"/>
      <c r="B222" s="327"/>
      <c r="C222" s="327"/>
      <c r="D222" s="330"/>
      <c r="E222" s="332" t="s">
        <v>276</v>
      </c>
      <c r="F222" s="330"/>
      <c r="G222" s="329">
        <v>2</v>
      </c>
      <c r="H222" s="329">
        <v>1.95</v>
      </c>
      <c r="I222" s="329">
        <v>0.22</v>
      </c>
      <c r="J222" s="329"/>
      <c r="K222" s="329">
        <v>0.01</v>
      </c>
      <c r="L222" s="329">
        <f>ROUND(G222*H222,4)</f>
        <v>3.9</v>
      </c>
      <c r="M222" s="329">
        <f>ROUND(G222*H222*I222,4)</f>
        <v>0.858</v>
      </c>
      <c r="N222" s="329">
        <f>ROUND(G222*H222*I222*K222,4)</f>
        <v>0.0086</v>
      </c>
      <c r="O222" s="329"/>
      <c r="P222" s="337"/>
      <c r="Q222" s="337"/>
      <c r="R222" s="337"/>
      <c r="S222" s="337"/>
      <c r="T222" s="337"/>
      <c r="U222" s="337"/>
      <c r="V222" s="337"/>
      <c r="W222" s="337"/>
      <c r="X222" s="339"/>
      <c r="Y222" s="339"/>
      <c r="Z222" s="339"/>
    </row>
    <row r="223" ht="16.5" customHeight="1" spans="1:26">
      <c r="A223" s="326"/>
      <c r="B223" s="327"/>
      <c r="C223" s="327"/>
      <c r="D223" s="330"/>
      <c r="E223" s="333" t="s">
        <v>277</v>
      </c>
      <c r="F223" s="330"/>
      <c r="G223" s="329"/>
      <c r="H223" s="329"/>
      <c r="I223" s="329"/>
      <c r="J223" s="329"/>
      <c r="K223" s="329"/>
      <c r="L223" s="329"/>
      <c r="M223" s="329"/>
      <c r="N223" s="329"/>
      <c r="O223" s="329"/>
      <c r="P223" s="337"/>
      <c r="Q223" s="337"/>
      <c r="R223" s="337"/>
      <c r="S223" s="337"/>
      <c r="T223" s="337"/>
      <c r="U223" s="337"/>
      <c r="V223" s="337"/>
      <c r="W223" s="337"/>
      <c r="X223" s="339"/>
      <c r="Y223" s="339"/>
      <c r="Z223" s="339"/>
    </row>
    <row r="224" ht="16.5" customHeight="1" spans="1:26">
      <c r="A224" s="326"/>
      <c r="B224" s="327"/>
      <c r="C224" s="327"/>
      <c r="D224" s="330"/>
      <c r="E224" s="332" t="s">
        <v>278</v>
      </c>
      <c r="F224" s="330"/>
      <c r="G224" s="329">
        <v>2</v>
      </c>
      <c r="H224" s="329">
        <f>5.5-0.22</f>
        <v>5.28</v>
      </c>
      <c r="I224" s="329">
        <v>0.22</v>
      </c>
      <c r="J224" s="329"/>
      <c r="K224" s="329">
        <v>0.01</v>
      </c>
      <c r="L224" s="329">
        <f t="shared" ref="L224:L230" si="10">ROUND(G224*H224,4)</f>
        <v>10.56</v>
      </c>
      <c r="M224" s="329">
        <f t="shared" ref="M224:M230" si="11">ROUND(G224*H224*I224,4)</f>
        <v>2.3232</v>
      </c>
      <c r="N224" s="329">
        <f t="shared" ref="N224:N230" si="12">ROUND(G224*H224*I224*K224,4)</f>
        <v>0.0232</v>
      </c>
      <c r="O224" s="329"/>
      <c r="P224" s="337"/>
      <c r="Q224" s="337"/>
      <c r="R224" s="337"/>
      <c r="S224" s="337"/>
      <c r="T224" s="337"/>
      <c r="U224" s="337"/>
      <c r="V224" s="337"/>
      <c r="W224" s="337"/>
      <c r="X224" s="339"/>
      <c r="Y224" s="339"/>
      <c r="Z224" s="339"/>
    </row>
    <row r="225" ht="16.5" customHeight="1" spans="1:26">
      <c r="A225" s="326"/>
      <c r="B225" s="327"/>
      <c r="C225" s="327"/>
      <c r="D225" s="330"/>
      <c r="E225" s="332"/>
      <c r="F225" s="330"/>
      <c r="G225" s="329">
        <v>2</v>
      </c>
      <c r="H225" s="329">
        <f>6.5-3*0.22</f>
        <v>5.84</v>
      </c>
      <c r="I225" s="329">
        <v>0.22</v>
      </c>
      <c r="J225" s="329"/>
      <c r="K225" s="329">
        <v>0.01</v>
      </c>
      <c r="L225" s="329">
        <f t="shared" si="10"/>
        <v>11.68</v>
      </c>
      <c r="M225" s="329">
        <f t="shared" si="11"/>
        <v>2.5696</v>
      </c>
      <c r="N225" s="329">
        <f t="shared" si="12"/>
        <v>0.0257</v>
      </c>
      <c r="O225" s="329"/>
      <c r="P225" s="337"/>
      <c r="Q225" s="337"/>
      <c r="R225" s="337"/>
      <c r="S225" s="337"/>
      <c r="T225" s="337"/>
      <c r="U225" s="337"/>
      <c r="V225" s="337"/>
      <c r="W225" s="337"/>
      <c r="X225" s="339"/>
      <c r="Y225" s="339"/>
      <c r="Z225" s="339"/>
    </row>
    <row r="226" ht="16.5" customHeight="1" spans="1:26">
      <c r="A226" s="326"/>
      <c r="B226" s="327"/>
      <c r="C226" s="327"/>
      <c r="D226" s="330"/>
      <c r="E226" s="332" t="s">
        <v>279</v>
      </c>
      <c r="F226" s="330"/>
      <c r="G226" s="329">
        <v>2</v>
      </c>
      <c r="H226" s="329">
        <v>0.82</v>
      </c>
      <c r="I226" s="329">
        <v>0.22</v>
      </c>
      <c r="J226" s="329"/>
      <c r="K226" s="329">
        <v>0.01</v>
      </c>
      <c r="L226" s="329">
        <f t="shared" si="10"/>
        <v>1.64</v>
      </c>
      <c r="M226" s="329">
        <f t="shared" si="11"/>
        <v>0.3608</v>
      </c>
      <c r="N226" s="329">
        <f t="shared" si="12"/>
        <v>0.0036</v>
      </c>
      <c r="O226" s="329"/>
      <c r="P226" s="337"/>
      <c r="Q226" s="337"/>
      <c r="R226" s="337"/>
      <c r="S226" s="337"/>
      <c r="T226" s="337"/>
      <c r="U226" s="337"/>
      <c r="V226" s="337"/>
      <c r="W226" s="337"/>
      <c r="X226" s="339"/>
      <c r="Y226" s="339"/>
      <c r="Z226" s="339"/>
    </row>
    <row r="227" ht="16.5" customHeight="1" spans="1:26">
      <c r="A227" s="326"/>
      <c r="B227" s="327"/>
      <c r="C227" s="327"/>
      <c r="D227" s="330"/>
      <c r="E227" s="332" t="s">
        <v>280</v>
      </c>
      <c r="F227" s="330"/>
      <c r="G227" s="329">
        <v>1</v>
      </c>
      <c r="H227" s="329">
        <v>2.26</v>
      </c>
      <c r="I227" s="329">
        <v>0.22</v>
      </c>
      <c r="J227" s="329"/>
      <c r="K227" s="329">
        <v>0.01</v>
      </c>
      <c r="L227" s="329">
        <f t="shared" si="10"/>
        <v>2.26</v>
      </c>
      <c r="M227" s="329">
        <f t="shared" si="11"/>
        <v>0.4972</v>
      </c>
      <c r="N227" s="329">
        <f t="shared" si="12"/>
        <v>0.005</v>
      </c>
      <c r="O227" s="329"/>
      <c r="P227" s="337"/>
      <c r="Q227" s="337"/>
      <c r="R227" s="337"/>
      <c r="S227" s="337"/>
      <c r="T227" s="337"/>
      <c r="U227" s="337"/>
      <c r="V227" s="337"/>
      <c r="W227" s="337"/>
      <c r="X227" s="339"/>
      <c r="Y227" s="339"/>
      <c r="Z227" s="339"/>
    </row>
    <row r="228" ht="16.5" customHeight="1" spans="1:26">
      <c r="A228" s="326"/>
      <c r="B228" s="327"/>
      <c r="C228" s="327"/>
      <c r="D228" s="330"/>
      <c r="E228" s="332" t="s">
        <v>281</v>
      </c>
      <c r="F228" s="330"/>
      <c r="G228" s="329">
        <v>1</v>
      </c>
      <c r="H228" s="329">
        <v>2.16</v>
      </c>
      <c r="I228" s="329">
        <v>0.22</v>
      </c>
      <c r="J228" s="329"/>
      <c r="K228" s="329">
        <v>0.01</v>
      </c>
      <c r="L228" s="329">
        <f t="shared" si="10"/>
        <v>2.16</v>
      </c>
      <c r="M228" s="329">
        <f t="shared" si="11"/>
        <v>0.4752</v>
      </c>
      <c r="N228" s="329">
        <f t="shared" si="12"/>
        <v>0.0048</v>
      </c>
      <c r="O228" s="329"/>
      <c r="P228" s="337"/>
      <c r="Q228" s="337"/>
      <c r="R228" s="337"/>
      <c r="S228" s="337"/>
      <c r="T228" s="337"/>
      <c r="U228" s="337"/>
      <c r="V228" s="337"/>
      <c r="W228" s="337"/>
      <c r="X228" s="339"/>
      <c r="Y228" s="339"/>
      <c r="Z228" s="339"/>
    </row>
    <row r="229" ht="16.5" customHeight="1" spans="1:26">
      <c r="A229" s="326"/>
      <c r="B229" s="327"/>
      <c r="C229" s="327"/>
      <c r="D229" s="330"/>
      <c r="E229" s="332" t="s">
        <v>282</v>
      </c>
      <c r="F229" s="330"/>
      <c r="G229" s="329">
        <v>3</v>
      </c>
      <c r="H229" s="329">
        <v>4.56</v>
      </c>
      <c r="I229" s="329">
        <v>0.22</v>
      </c>
      <c r="J229" s="329"/>
      <c r="K229" s="329">
        <v>0.01</v>
      </c>
      <c r="L229" s="329">
        <f t="shared" si="10"/>
        <v>13.68</v>
      </c>
      <c r="M229" s="329">
        <f t="shared" si="11"/>
        <v>3.0096</v>
      </c>
      <c r="N229" s="329">
        <f t="shared" si="12"/>
        <v>0.0301</v>
      </c>
      <c r="O229" s="329"/>
      <c r="P229" s="337"/>
      <c r="Q229" s="337"/>
      <c r="R229" s="337"/>
      <c r="S229" s="337"/>
      <c r="T229" s="337"/>
      <c r="U229" s="337"/>
      <c r="V229" s="337"/>
      <c r="W229" s="337"/>
      <c r="X229" s="339"/>
      <c r="Y229" s="339"/>
      <c r="Z229" s="339"/>
    </row>
    <row r="230" ht="16.5" customHeight="1" spans="1:26">
      <c r="A230" s="326"/>
      <c r="B230" s="327"/>
      <c r="C230" s="327"/>
      <c r="D230" s="330"/>
      <c r="E230" s="332" t="s">
        <v>283</v>
      </c>
      <c r="F230" s="330"/>
      <c r="G230" s="329">
        <v>1</v>
      </c>
      <c r="H230" s="329">
        <v>4.56</v>
      </c>
      <c r="I230" s="329">
        <v>0.22</v>
      </c>
      <c r="J230" s="329"/>
      <c r="K230" s="329">
        <v>0.01</v>
      </c>
      <c r="L230" s="329">
        <f t="shared" si="10"/>
        <v>4.56</v>
      </c>
      <c r="M230" s="329">
        <f t="shared" si="11"/>
        <v>1.0032</v>
      </c>
      <c r="N230" s="329">
        <f t="shared" si="12"/>
        <v>0.01</v>
      </c>
      <c r="O230" s="329"/>
      <c r="P230" s="337"/>
      <c r="Q230" s="337"/>
      <c r="R230" s="337"/>
      <c r="S230" s="337"/>
      <c r="T230" s="337"/>
      <c r="U230" s="337"/>
      <c r="V230" s="337"/>
      <c r="W230" s="337"/>
      <c r="X230" s="339"/>
      <c r="Y230" s="339"/>
      <c r="Z230" s="339"/>
    </row>
    <row r="231" ht="16.5" customHeight="1" spans="1:26">
      <c r="A231" s="326"/>
      <c r="B231" s="327"/>
      <c r="C231" s="327"/>
      <c r="D231" s="330"/>
      <c r="E231" s="333" t="s">
        <v>284</v>
      </c>
      <c r="F231" s="330"/>
      <c r="G231" s="329"/>
      <c r="H231" s="329"/>
      <c r="I231" s="329"/>
      <c r="J231" s="329"/>
      <c r="K231" s="329"/>
      <c r="L231" s="329"/>
      <c r="M231" s="329"/>
      <c r="N231" s="329"/>
      <c r="O231" s="329"/>
      <c r="P231" s="337"/>
      <c r="Q231" s="337"/>
      <c r="R231" s="337"/>
      <c r="S231" s="337"/>
      <c r="T231" s="337"/>
      <c r="U231" s="337"/>
      <c r="V231" s="337"/>
      <c r="W231" s="337"/>
      <c r="X231" s="339"/>
      <c r="Y231" s="339"/>
      <c r="Z231" s="339"/>
    </row>
    <row r="232" ht="16.5" customHeight="1" spans="1:26">
      <c r="A232" s="326"/>
      <c r="B232" s="327"/>
      <c r="C232" s="327"/>
      <c r="D232" s="330"/>
      <c r="E232" s="332" t="s">
        <v>285</v>
      </c>
      <c r="F232" s="330"/>
      <c r="G232" s="329">
        <v>2</v>
      </c>
      <c r="H232" s="329">
        <f>10.91-0.22*4</f>
        <v>10.03</v>
      </c>
      <c r="I232" s="329">
        <v>0.22</v>
      </c>
      <c r="J232" s="329"/>
      <c r="K232" s="329">
        <v>0.01</v>
      </c>
      <c r="L232" s="329">
        <f>ROUND(G232*H232,4)</f>
        <v>20.06</v>
      </c>
      <c r="M232" s="329">
        <f>ROUND(G232*H232*I232,4)</f>
        <v>4.4132</v>
      </c>
      <c r="N232" s="329">
        <f>ROUND(G232*H232*I232*K232,4)</f>
        <v>0.0441</v>
      </c>
      <c r="O232" s="329"/>
      <c r="P232" s="337"/>
      <c r="Q232" s="337"/>
      <c r="R232" s="337"/>
      <c r="S232" s="337"/>
      <c r="T232" s="337"/>
      <c r="U232" s="337"/>
      <c r="V232" s="337"/>
      <c r="W232" s="337"/>
      <c r="X232" s="339"/>
      <c r="Y232" s="339"/>
      <c r="Z232" s="339"/>
    </row>
    <row r="233" ht="16.5" customHeight="1" spans="1:26">
      <c r="A233" s="326"/>
      <c r="B233" s="327"/>
      <c r="C233" s="327"/>
      <c r="D233" s="330"/>
      <c r="E233" s="332" t="s">
        <v>286</v>
      </c>
      <c r="F233" s="330"/>
      <c r="G233" s="329">
        <v>4</v>
      </c>
      <c r="H233" s="329">
        <v>4.56</v>
      </c>
      <c r="I233" s="329">
        <v>0.22</v>
      </c>
      <c r="J233" s="329"/>
      <c r="K233" s="329">
        <v>0.01</v>
      </c>
      <c r="L233" s="329">
        <f>ROUND(G233*H233,4)</f>
        <v>18.24</v>
      </c>
      <c r="M233" s="329">
        <f>ROUND(G233*H233*I233,4)</f>
        <v>4.0128</v>
      </c>
      <c r="N233" s="329">
        <f>ROUND(G233*H233*I233*K233,4)</f>
        <v>0.0401</v>
      </c>
      <c r="O233" s="329"/>
      <c r="P233" s="337"/>
      <c r="Q233" s="337"/>
      <c r="R233" s="337"/>
      <c r="S233" s="337"/>
      <c r="T233" s="337"/>
      <c r="U233" s="337"/>
      <c r="V233" s="337"/>
      <c r="W233" s="337"/>
      <c r="X233" s="339"/>
      <c r="Y233" s="339"/>
      <c r="Z233" s="339"/>
    </row>
    <row r="234" ht="48.75" customHeight="1" spans="1:37">
      <c r="A234" s="326">
        <v>8</v>
      </c>
      <c r="B234" s="327" t="s">
        <v>288</v>
      </c>
      <c r="C234" s="327"/>
      <c r="D234" s="330" t="s">
        <v>288</v>
      </c>
      <c r="E234" s="331" t="s">
        <v>289</v>
      </c>
      <c r="F234" s="330" t="s">
        <v>107</v>
      </c>
      <c r="G234" s="329"/>
      <c r="H234" s="329"/>
      <c r="I234" s="329"/>
      <c r="J234" s="329"/>
      <c r="K234" s="329"/>
      <c r="L234" s="329">
        <f>ROUND(SUM(L235:L280),4)</f>
        <v>260.6953</v>
      </c>
      <c r="M234" s="329">
        <f>ROUND(SUM(M235:M280),4)</f>
        <v>492.1924</v>
      </c>
      <c r="N234" s="329"/>
      <c r="O234" s="329">
        <f>ROUND(SUM(N234:N280),4)</f>
        <v>2.3805</v>
      </c>
      <c r="P234" s="337">
        <v>620482</v>
      </c>
      <c r="Q234" s="337"/>
      <c r="R234" s="337">
        <v>5470589</v>
      </c>
      <c r="S234" s="337">
        <v>651440</v>
      </c>
      <c r="T234" s="337">
        <f>ROUND(ROUND(O234,4)*P234,0)</f>
        <v>1477057</v>
      </c>
      <c r="U234" s="337">
        <f>ROUND(ROUND(O234,4)*Q234,0)</f>
        <v>0</v>
      </c>
      <c r="V234" s="337">
        <f>ROUND(ROUND(O234,4)*R234,0)</f>
        <v>13022737</v>
      </c>
      <c r="W234" s="337">
        <f>ROUND(ROUND(O234,4)*S234,0)</f>
        <v>1550753</v>
      </c>
      <c r="X234" s="339"/>
      <c r="Y234" s="339"/>
      <c r="Z234" s="339"/>
      <c r="AA234" s="325" t="s">
        <v>47</v>
      </c>
      <c r="AB234" s="325" t="s">
        <v>48</v>
      </c>
      <c r="AC234" s="324" t="s">
        <v>290</v>
      </c>
      <c r="AD234" s="324" t="s">
        <v>291</v>
      </c>
      <c r="AE234" s="324" t="s">
        <v>214</v>
      </c>
      <c r="AK234" s="325" t="s">
        <v>51</v>
      </c>
    </row>
    <row r="235" ht="16.5" customHeight="1" spans="1:26">
      <c r="A235" s="326"/>
      <c r="B235" s="327"/>
      <c r="C235" s="327"/>
      <c r="D235" s="330"/>
      <c r="E235" s="333" t="s">
        <v>292</v>
      </c>
      <c r="F235" s="330"/>
      <c r="G235" s="329"/>
      <c r="H235" s="329"/>
      <c r="I235" s="329"/>
      <c r="J235" s="329"/>
      <c r="K235" s="329"/>
      <c r="L235" s="329"/>
      <c r="M235" s="329"/>
      <c r="N235" s="329"/>
      <c r="O235" s="329"/>
      <c r="P235" s="337"/>
      <c r="Q235" s="337"/>
      <c r="R235" s="337"/>
      <c r="S235" s="337"/>
      <c r="T235" s="337"/>
      <c r="U235" s="337"/>
      <c r="V235" s="337"/>
      <c r="W235" s="337"/>
      <c r="X235" s="339"/>
      <c r="Y235" s="339"/>
      <c r="Z235" s="339"/>
    </row>
    <row r="236" ht="16.5" customHeight="1" spans="1:26">
      <c r="A236" s="326"/>
      <c r="B236" s="327"/>
      <c r="C236" s="327"/>
      <c r="D236" s="330"/>
      <c r="E236" s="332" t="s">
        <v>293</v>
      </c>
      <c r="F236" s="330"/>
      <c r="G236" s="329">
        <v>2</v>
      </c>
      <c r="H236" s="329">
        <v>0.255</v>
      </c>
      <c r="I236" s="329">
        <v>0.6</v>
      </c>
      <c r="J236" s="329"/>
      <c r="K236" s="329">
        <v>0.01</v>
      </c>
      <c r="L236" s="329">
        <f t="shared" ref="L236:L243" si="13">ROUND(G236*H236,4)</f>
        <v>0.51</v>
      </c>
      <c r="M236" s="329">
        <f>ROUND(G236*H236*I236,4)</f>
        <v>0.306</v>
      </c>
      <c r="N236" s="329">
        <f>ROUND(G236*H236*I236*K236,4)</f>
        <v>0.0031</v>
      </c>
      <c r="O236" s="329"/>
      <c r="P236" s="337"/>
      <c r="Q236" s="337"/>
      <c r="R236" s="337"/>
      <c r="S236" s="337"/>
      <c r="T236" s="337"/>
      <c r="U236" s="337"/>
      <c r="V236" s="337"/>
      <c r="W236" s="337"/>
      <c r="X236" s="339"/>
      <c r="Y236" s="339"/>
      <c r="Z236" s="339"/>
    </row>
    <row r="237" ht="16.5" customHeight="1" spans="1:26">
      <c r="A237" s="326"/>
      <c r="B237" s="327"/>
      <c r="C237" s="327"/>
      <c r="D237" s="330"/>
      <c r="E237" s="332"/>
      <c r="F237" s="330"/>
      <c r="G237" s="329">
        <v>1</v>
      </c>
      <c r="H237" s="329">
        <v>4.05</v>
      </c>
      <c r="I237" s="329">
        <v>1.275</v>
      </c>
      <c r="J237" s="329"/>
      <c r="K237" s="329">
        <v>0.01</v>
      </c>
      <c r="L237" s="329">
        <f t="shared" si="13"/>
        <v>4.05</v>
      </c>
      <c r="M237" s="329">
        <f>ROUND(G237*H237*I237,4)</f>
        <v>5.1638</v>
      </c>
      <c r="N237" s="329">
        <f>ROUND(G237*H237*I237*K237,4)</f>
        <v>0.0516</v>
      </c>
      <c r="O237" s="329"/>
      <c r="P237" s="337"/>
      <c r="Q237" s="337"/>
      <c r="R237" s="337"/>
      <c r="S237" s="337"/>
      <c r="T237" s="337"/>
      <c r="U237" s="337"/>
      <c r="V237" s="337"/>
      <c r="W237" s="337"/>
      <c r="X237" s="339"/>
      <c r="Y237" s="339"/>
      <c r="Z237" s="339"/>
    </row>
    <row r="238" ht="16.5" customHeight="1" spans="1:26">
      <c r="A238" s="326"/>
      <c r="B238" s="327"/>
      <c r="C238" s="327"/>
      <c r="D238" s="330"/>
      <c r="E238" s="332" t="s">
        <v>294</v>
      </c>
      <c r="F238" s="330"/>
      <c r="G238" s="329">
        <v>1</v>
      </c>
      <c r="H238" s="329">
        <v>5</v>
      </c>
      <c r="I238" s="329">
        <v>11.4</v>
      </c>
      <c r="J238" s="329"/>
      <c r="K238" s="329">
        <v>0.01</v>
      </c>
      <c r="L238" s="329">
        <f t="shared" si="13"/>
        <v>5</v>
      </c>
      <c r="M238" s="329">
        <f>ROUND(G238*H238*I238,4)</f>
        <v>57</v>
      </c>
      <c r="N238" s="329">
        <f>ROUND(G238*H238*I238*K238,4)</f>
        <v>0.57</v>
      </c>
      <c r="O238" s="329"/>
      <c r="P238" s="337"/>
      <c r="Q238" s="337"/>
      <c r="R238" s="337"/>
      <c r="S238" s="337"/>
      <c r="T238" s="337"/>
      <c r="U238" s="337"/>
      <c r="V238" s="337"/>
      <c r="W238" s="337"/>
      <c r="X238" s="339"/>
      <c r="Y238" s="339"/>
      <c r="Z238" s="339"/>
    </row>
    <row r="239" ht="16.5" customHeight="1" spans="1:26">
      <c r="A239" s="326"/>
      <c r="B239" s="327"/>
      <c r="C239" s="327"/>
      <c r="D239" s="330"/>
      <c r="E239" s="332"/>
      <c r="F239" s="330"/>
      <c r="G239" s="329">
        <v>2</v>
      </c>
      <c r="H239" s="329">
        <v>0.22</v>
      </c>
      <c r="I239" s="329">
        <v>0.6</v>
      </c>
      <c r="J239" s="329"/>
      <c r="K239" s="329">
        <v>0.01</v>
      </c>
      <c r="L239" s="329">
        <f t="shared" si="13"/>
        <v>0.44</v>
      </c>
      <c r="M239" s="329">
        <f>ROUND(G239*H239*I239,4)</f>
        <v>0.264</v>
      </c>
      <c r="N239" s="329">
        <f>ROUND(G239*H239*I239*K239,4)</f>
        <v>0.0026</v>
      </c>
      <c r="O239" s="329"/>
      <c r="P239" s="337"/>
      <c r="Q239" s="337"/>
      <c r="R239" s="337"/>
      <c r="S239" s="337"/>
      <c r="T239" s="337"/>
      <c r="U239" s="337"/>
      <c r="V239" s="337"/>
      <c r="W239" s="337"/>
      <c r="X239" s="339"/>
      <c r="Y239" s="339"/>
      <c r="Z239" s="339"/>
    </row>
    <row r="240" ht="16.5" customHeight="1" spans="1:26">
      <c r="A240" s="326"/>
      <c r="B240" s="327"/>
      <c r="C240" s="327"/>
      <c r="D240" s="330"/>
      <c r="E240" s="332" t="s">
        <v>295</v>
      </c>
      <c r="F240" s="330"/>
      <c r="G240" s="329">
        <v>-1</v>
      </c>
      <c r="H240" s="329">
        <v>3</v>
      </c>
      <c r="I240" s="329">
        <v>2.26</v>
      </c>
      <c r="J240" s="329"/>
      <c r="K240" s="329">
        <v>0.01</v>
      </c>
      <c r="L240" s="329">
        <f t="shared" si="13"/>
        <v>-3</v>
      </c>
      <c r="M240" s="329">
        <f>ROUND(G240*H240*I240,4)</f>
        <v>-6.78</v>
      </c>
      <c r="N240" s="329">
        <f>ROUND(G240*H240*I240*K240,4)</f>
        <v>-0.0678</v>
      </c>
      <c r="O240" s="329"/>
      <c r="P240" s="337"/>
      <c r="Q240" s="337"/>
      <c r="R240" s="337"/>
      <c r="S240" s="337"/>
      <c r="T240" s="337"/>
      <c r="U240" s="337"/>
      <c r="V240" s="337"/>
      <c r="W240" s="337"/>
      <c r="X240" s="339"/>
      <c r="Y240" s="339"/>
      <c r="Z240" s="339"/>
    </row>
    <row r="241" ht="16.5" customHeight="1" spans="1:26">
      <c r="A241" s="326"/>
      <c r="B241" s="327"/>
      <c r="C241" s="327"/>
      <c r="D241" s="330"/>
      <c r="E241" s="332" t="s">
        <v>296</v>
      </c>
      <c r="F241" s="330"/>
      <c r="G241" s="329">
        <v>2</v>
      </c>
      <c r="H241" s="329">
        <v>12.674</v>
      </c>
      <c r="I241" s="329"/>
      <c r="J241" s="329">
        <v>0.12</v>
      </c>
      <c r="K241" s="329">
        <v>0.01</v>
      </c>
      <c r="L241" s="329">
        <f t="shared" si="13"/>
        <v>25.348</v>
      </c>
      <c r="M241" s="329">
        <f>ROUND(G241*H241,4)</f>
        <v>25.348</v>
      </c>
      <c r="N241" s="329">
        <f>ROUND(G241*H241*J241*K241,4)</f>
        <v>0.0304</v>
      </c>
      <c r="O241" s="329"/>
      <c r="P241" s="337"/>
      <c r="Q241" s="337"/>
      <c r="R241" s="337"/>
      <c r="S241" s="337"/>
      <c r="T241" s="337"/>
      <c r="U241" s="337"/>
      <c r="V241" s="337"/>
      <c r="W241" s="337"/>
      <c r="X241" s="339"/>
      <c r="Y241" s="339"/>
      <c r="Z241" s="339"/>
    </row>
    <row r="242" ht="16.5" customHeight="1" spans="1:26">
      <c r="A242" s="326"/>
      <c r="B242" s="327"/>
      <c r="C242" s="327"/>
      <c r="D242" s="330"/>
      <c r="E242" s="332"/>
      <c r="F242" s="330"/>
      <c r="G242" s="329">
        <v>2</v>
      </c>
      <c r="H242" s="329">
        <v>5</v>
      </c>
      <c r="I242" s="329"/>
      <c r="J242" s="329">
        <v>0.12</v>
      </c>
      <c r="K242" s="329">
        <v>0.01</v>
      </c>
      <c r="L242" s="329">
        <f t="shared" si="13"/>
        <v>10</v>
      </c>
      <c r="M242" s="329">
        <f>ROUND(G242*H242,4)</f>
        <v>10</v>
      </c>
      <c r="N242" s="329">
        <f>ROUND(G242*H242*J242*K242,4)</f>
        <v>0.012</v>
      </c>
      <c r="O242" s="329"/>
      <c r="P242" s="337"/>
      <c r="Q242" s="337"/>
      <c r="R242" s="337"/>
      <c r="S242" s="337"/>
      <c r="T242" s="337"/>
      <c r="U242" s="337"/>
      <c r="V242" s="337"/>
      <c r="W242" s="337"/>
      <c r="X242" s="339"/>
      <c r="Y242" s="339"/>
      <c r="Z242" s="339"/>
    </row>
    <row r="243" ht="16.5" customHeight="1" spans="1:26">
      <c r="A243" s="326"/>
      <c r="B243" s="327"/>
      <c r="C243" s="327"/>
      <c r="D243" s="330"/>
      <c r="E243" s="332" t="s">
        <v>297</v>
      </c>
      <c r="F243" s="330"/>
      <c r="G243" s="329">
        <v>2</v>
      </c>
      <c r="H243" s="329">
        <v>5.26</v>
      </c>
      <c r="I243" s="329"/>
      <c r="J243" s="329">
        <v>0.12</v>
      </c>
      <c r="K243" s="329">
        <v>0.01</v>
      </c>
      <c r="L243" s="329">
        <f t="shared" si="13"/>
        <v>10.52</v>
      </c>
      <c r="M243" s="329">
        <f>ROUND(G243*H243,4)</f>
        <v>10.52</v>
      </c>
      <c r="N243" s="329">
        <f>ROUND(G243*H243*J243*K243,4)</f>
        <v>0.0126</v>
      </c>
      <c r="O243" s="329"/>
      <c r="P243" s="337"/>
      <c r="Q243" s="337"/>
      <c r="R243" s="337"/>
      <c r="S243" s="337"/>
      <c r="T243" s="337"/>
      <c r="U243" s="337"/>
      <c r="V243" s="337"/>
      <c r="W243" s="337"/>
      <c r="X243" s="339"/>
      <c r="Y243" s="339"/>
      <c r="Z243" s="339"/>
    </row>
    <row r="244" ht="16.5" customHeight="1" spans="1:26">
      <c r="A244" s="326"/>
      <c r="B244" s="327"/>
      <c r="C244" s="327"/>
      <c r="D244" s="330"/>
      <c r="E244" s="333" t="s">
        <v>298</v>
      </c>
      <c r="F244" s="330"/>
      <c r="G244" s="329"/>
      <c r="H244" s="329"/>
      <c r="I244" s="329"/>
      <c r="J244" s="329"/>
      <c r="K244" s="329"/>
      <c r="L244" s="329"/>
      <c r="M244" s="329"/>
      <c r="N244" s="329"/>
      <c r="O244" s="329"/>
      <c r="P244" s="337"/>
      <c r="Q244" s="337"/>
      <c r="R244" s="337"/>
      <c r="S244" s="337"/>
      <c r="T244" s="337"/>
      <c r="U244" s="337"/>
      <c r="V244" s="337"/>
      <c r="W244" s="337"/>
      <c r="X244" s="339"/>
      <c r="Y244" s="339"/>
      <c r="Z244" s="339"/>
    </row>
    <row r="245" ht="16.5" customHeight="1" spans="1:26">
      <c r="A245" s="326"/>
      <c r="B245" s="327"/>
      <c r="C245" s="327"/>
      <c r="D245" s="330"/>
      <c r="E245" s="332" t="s">
        <v>293</v>
      </c>
      <c r="F245" s="330"/>
      <c r="G245" s="329">
        <v>2</v>
      </c>
      <c r="H245" s="329">
        <v>0.255</v>
      </c>
      <c r="I245" s="329">
        <v>0.11</v>
      </c>
      <c r="J245" s="329"/>
      <c r="K245" s="329">
        <v>0.01</v>
      </c>
      <c r="L245" s="329">
        <f t="shared" ref="L245:L253" si="14">ROUND(G245*H245,4)</f>
        <v>0.51</v>
      </c>
      <c r="M245" s="329">
        <f t="shared" ref="M245:M250" si="15">ROUND(G245*H245*I245,4)</f>
        <v>0.0561</v>
      </c>
      <c r="N245" s="329">
        <f t="shared" ref="N245:N250" si="16">ROUND(G245*H245*I245*K245,4)</f>
        <v>0.0006</v>
      </c>
      <c r="O245" s="329"/>
      <c r="P245" s="337"/>
      <c r="Q245" s="337"/>
      <c r="R245" s="337"/>
      <c r="S245" s="337"/>
      <c r="T245" s="337"/>
      <c r="U245" s="337"/>
      <c r="V245" s="337"/>
      <c r="W245" s="337"/>
      <c r="X245" s="339"/>
      <c r="Y245" s="339"/>
      <c r="Z245" s="339"/>
    </row>
    <row r="246" ht="16.5" customHeight="1" spans="1:26">
      <c r="A246" s="326"/>
      <c r="B246" s="327"/>
      <c r="C246" s="327"/>
      <c r="D246" s="330"/>
      <c r="E246" s="332"/>
      <c r="F246" s="330"/>
      <c r="G246" s="329">
        <v>2</v>
      </c>
      <c r="H246" s="329">
        <v>1.05</v>
      </c>
      <c r="I246" s="329">
        <v>0.22</v>
      </c>
      <c r="J246" s="329"/>
      <c r="K246" s="329">
        <v>0.01</v>
      </c>
      <c r="L246" s="329">
        <f t="shared" si="14"/>
        <v>2.1</v>
      </c>
      <c r="M246" s="329">
        <f t="shared" si="15"/>
        <v>0.462</v>
      </c>
      <c r="N246" s="329">
        <f t="shared" si="16"/>
        <v>0.0046</v>
      </c>
      <c r="O246" s="329"/>
      <c r="P246" s="337"/>
      <c r="Q246" s="337"/>
      <c r="R246" s="337"/>
      <c r="S246" s="337"/>
      <c r="T246" s="337"/>
      <c r="U246" s="337"/>
      <c r="V246" s="337"/>
      <c r="W246" s="337"/>
      <c r="X246" s="339"/>
      <c r="Y246" s="339"/>
      <c r="Z246" s="339"/>
    </row>
    <row r="247" ht="16.5" customHeight="1" spans="1:26">
      <c r="A247" s="326"/>
      <c r="B247" s="327"/>
      <c r="C247" s="327"/>
      <c r="D247" s="330"/>
      <c r="E247" s="332"/>
      <c r="F247" s="330"/>
      <c r="G247" s="329">
        <v>1</v>
      </c>
      <c r="H247" s="329">
        <v>1.95</v>
      </c>
      <c r="I247" s="329">
        <v>0.885</v>
      </c>
      <c r="J247" s="329"/>
      <c r="K247" s="329">
        <v>0.01</v>
      </c>
      <c r="L247" s="329">
        <f t="shared" si="14"/>
        <v>1.95</v>
      </c>
      <c r="M247" s="329">
        <f t="shared" si="15"/>
        <v>1.7258</v>
      </c>
      <c r="N247" s="329">
        <f t="shared" si="16"/>
        <v>0.0173</v>
      </c>
      <c r="O247" s="329"/>
      <c r="P247" s="337"/>
      <c r="Q247" s="337"/>
      <c r="R247" s="337"/>
      <c r="S247" s="337"/>
      <c r="T247" s="337"/>
      <c r="U247" s="337"/>
      <c r="V247" s="337"/>
      <c r="W247" s="337"/>
      <c r="X247" s="339"/>
      <c r="Y247" s="339"/>
      <c r="Z247" s="339"/>
    </row>
    <row r="248" ht="16.5" customHeight="1" spans="1:26">
      <c r="A248" s="326"/>
      <c r="B248" s="327"/>
      <c r="C248" s="327"/>
      <c r="D248" s="330"/>
      <c r="E248" s="332" t="s">
        <v>294</v>
      </c>
      <c r="F248" s="330"/>
      <c r="G248" s="329">
        <v>1</v>
      </c>
      <c r="H248" s="329">
        <v>5</v>
      </c>
      <c r="I248" s="329">
        <v>11.89</v>
      </c>
      <c r="J248" s="329"/>
      <c r="K248" s="329">
        <v>0.01</v>
      </c>
      <c r="L248" s="329">
        <f t="shared" si="14"/>
        <v>5</v>
      </c>
      <c r="M248" s="329">
        <f t="shared" si="15"/>
        <v>59.45</v>
      </c>
      <c r="N248" s="329">
        <f t="shared" si="16"/>
        <v>0.5945</v>
      </c>
      <c r="O248" s="329"/>
      <c r="P248" s="337"/>
      <c r="Q248" s="337"/>
      <c r="R248" s="337"/>
      <c r="S248" s="337"/>
      <c r="T248" s="337"/>
      <c r="U248" s="337"/>
      <c r="V248" s="337"/>
      <c r="W248" s="337"/>
      <c r="X248" s="339"/>
      <c r="Y248" s="339"/>
      <c r="Z248" s="339"/>
    </row>
    <row r="249" ht="16.5" customHeight="1" spans="1:26">
      <c r="A249" s="326"/>
      <c r="B249" s="327"/>
      <c r="C249" s="327"/>
      <c r="D249" s="330"/>
      <c r="E249" s="332"/>
      <c r="F249" s="330"/>
      <c r="G249" s="329">
        <v>2</v>
      </c>
      <c r="H249" s="329">
        <v>0.22</v>
      </c>
      <c r="I249" s="329">
        <v>0.11</v>
      </c>
      <c r="J249" s="329"/>
      <c r="K249" s="329">
        <v>0.01</v>
      </c>
      <c r="L249" s="329">
        <f t="shared" si="14"/>
        <v>0.44</v>
      </c>
      <c r="M249" s="329">
        <f t="shared" si="15"/>
        <v>0.0484</v>
      </c>
      <c r="N249" s="329">
        <f t="shared" si="16"/>
        <v>0.0005</v>
      </c>
      <c r="O249" s="329"/>
      <c r="P249" s="337"/>
      <c r="Q249" s="337"/>
      <c r="R249" s="337"/>
      <c r="S249" s="337"/>
      <c r="T249" s="337"/>
      <c r="U249" s="337"/>
      <c r="V249" s="337"/>
      <c r="W249" s="337"/>
      <c r="X249" s="339"/>
      <c r="Y249" s="339"/>
      <c r="Z249" s="339"/>
    </row>
    <row r="250" ht="16.5" customHeight="1" spans="1:26">
      <c r="A250" s="326"/>
      <c r="B250" s="327"/>
      <c r="C250" s="327"/>
      <c r="D250" s="330"/>
      <c r="E250" s="332" t="s">
        <v>295</v>
      </c>
      <c r="F250" s="330"/>
      <c r="G250" s="329">
        <v>-1</v>
      </c>
      <c r="H250" s="329">
        <v>3</v>
      </c>
      <c r="I250" s="329">
        <v>2.26</v>
      </c>
      <c r="J250" s="329"/>
      <c r="K250" s="329">
        <v>0.01</v>
      </c>
      <c r="L250" s="329">
        <f t="shared" si="14"/>
        <v>-3</v>
      </c>
      <c r="M250" s="329">
        <f t="shared" si="15"/>
        <v>-6.78</v>
      </c>
      <c r="N250" s="329">
        <f t="shared" si="16"/>
        <v>-0.0678</v>
      </c>
      <c r="O250" s="329"/>
      <c r="P250" s="337"/>
      <c r="Q250" s="337"/>
      <c r="R250" s="337"/>
      <c r="S250" s="337"/>
      <c r="T250" s="337"/>
      <c r="U250" s="337"/>
      <c r="V250" s="337"/>
      <c r="W250" s="337"/>
      <c r="X250" s="339"/>
      <c r="Y250" s="339"/>
      <c r="Z250" s="339"/>
    </row>
    <row r="251" ht="16.5" customHeight="1" spans="1:26">
      <c r="A251" s="326"/>
      <c r="B251" s="327"/>
      <c r="C251" s="327"/>
      <c r="D251" s="330"/>
      <c r="E251" s="332" t="s">
        <v>296</v>
      </c>
      <c r="F251" s="330"/>
      <c r="G251" s="329">
        <v>2</v>
      </c>
      <c r="H251" s="329">
        <v>12.775</v>
      </c>
      <c r="I251" s="329"/>
      <c r="J251" s="329">
        <v>0.12</v>
      </c>
      <c r="K251" s="329">
        <v>0.01</v>
      </c>
      <c r="L251" s="329">
        <f t="shared" si="14"/>
        <v>25.55</v>
      </c>
      <c r="M251" s="329">
        <f>ROUND(G251*H251,4)</f>
        <v>25.55</v>
      </c>
      <c r="N251" s="329">
        <f>ROUND(G251*H251*J251*K251,4)</f>
        <v>0.0307</v>
      </c>
      <c r="O251" s="329"/>
      <c r="P251" s="337"/>
      <c r="Q251" s="337"/>
      <c r="R251" s="337"/>
      <c r="S251" s="337"/>
      <c r="T251" s="337"/>
      <c r="U251" s="337"/>
      <c r="V251" s="337"/>
      <c r="W251" s="337"/>
      <c r="X251" s="339"/>
      <c r="Y251" s="339"/>
      <c r="Z251" s="339"/>
    </row>
    <row r="252" ht="16.5" customHeight="1" spans="1:26">
      <c r="A252" s="326"/>
      <c r="B252" s="327"/>
      <c r="C252" s="327"/>
      <c r="D252" s="330"/>
      <c r="E252" s="332"/>
      <c r="F252" s="330"/>
      <c r="G252" s="329">
        <v>2</v>
      </c>
      <c r="H252" s="329">
        <v>5</v>
      </c>
      <c r="I252" s="329"/>
      <c r="J252" s="329">
        <v>0.12</v>
      </c>
      <c r="K252" s="329">
        <v>0.01</v>
      </c>
      <c r="L252" s="329">
        <f t="shared" si="14"/>
        <v>10</v>
      </c>
      <c r="M252" s="329">
        <f>ROUND(G252*H252,4)</f>
        <v>10</v>
      </c>
      <c r="N252" s="329">
        <f>ROUND(G252*H252*J252*K252,4)</f>
        <v>0.012</v>
      </c>
      <c r="O252" s="329"/>
      <c r="P252" s="337"/>
      <c r="Q252" s="337"/>
      <c r="R252" s="337"/>
      <c r="S252" s="337"/>
      <c r="T252" s="337"/>
      <c r="U252" s="337"/>
      <c r="V252" s="337"/>
      <c r="W252" s="337"/>
      <c r="X252" s="339"/>
      <c r="Y252" s="339"/>
      <c r="Z252" s="339"/>
    </row>
    <row r="253" ht="16.5" customHeight="1" spans="1:26">
      <c r="A253" s="326"/>
      <c r="B253" s="327"/>
      <c r="C253" s="327"/>
      <c r="D253" s="330"/>
      <c r="E253" s="332" t="s">
        <v>297</v>
      </c>
      <c r="F253" s="330"/>
      <c r="G253" s="329">
        <v>2</v>
      </c>
      <c r="H253" s="329">
        <v>5.26</v>
      </c>
      <c r="I253" s="329"/>
      <c r="J253" s="329">
        <v>0.12</v>
      </c>
      <c r="K253" s="329">
        <v>0.01</v>
      </c>
      <c r="L253" s="329">
        <f t="shared" si="14"/>
        <v>10.52</v>
      </c>
      <c r="M253" s="329">
        <f>ROUND(G253*H253,4)</f>
        <v>10.52</v>
      </c>
      <c r="N253" s="329">
        <f>ROUND(G253*H253*J253*K253,4)</f>
        <v>0.0126</v>
      </c>
      <c r="O253" s="329"/>
      <c r="P253" s="337"/>
      <c r="Q253" s="337"/>
      <c r="R253" s="337"/>
      <c r="S253" s="337"/>
      <c r="T253" s="337"/>
      <c r="U253" s="337"/>
      <c r="V253" s="337"/>
      <c r="W253" s="337"/>
      <c r="X253" s="339"/>
      <c r="Y253" s="339"/>
      <c r="Z253" s="339"/>
    </row>
    <row r="254" ht="16.5" customHeight="1" spans="1:26">
      <c r="A254" s="326"/>
      <c r="B254" s="327"/>
      <c r="C254" s="327"/>
      <c r="D254" s="330"/>
      <c r="E254" s="333" t="s">
        <v>299</v>
      </c>
      <c r="F254" s="330"/>
      <c r="G254" s="329"/>
      <c r="H254" s="329"/>
      <c r="I254" s="329"/>
      <c r="J254" s="329"/>
      <c r="K254" s="329"/>
      <c r="L254" s="329"/>
      <c r="M254" s="329"/>
      <c r="N254" s="329"/>
      <c r="O254" s="329"/>
      <c r="P254" s="337"/>
      <c r="Q254" s="337"/>
      <c r="R254" s="337"/>
      <c r="S254" s="337"/>
      <c r="T254" s="337"/>
      <c r="U254" s="337"/>
      <c r="V254" s="337"/>
      <c r="W254" s="337"/>
      <c r="X254" s="339"/>
      <c r="Y254" s="339"/>
      <c r="Z254" s="339"/>
    </row>
    <row r="255" ht="16.5" customHeight="1" spans="1:26">
      <c r="A255" s="326"/>
      <c r="B255" s="327"/>
      <c r="C255" s="327"/>
      <c r="D255" s="330"/>
      <c r="E255" s="333" t="s">
        <v>293</v>
      </c>
      <c r="F255" s="330"/>
      <c r="G255" s="329"/>
      <c r="H255" s="329"/>
      <c r="I255" s="329"/>
      <c r="J255" s="329"/>
      <c r="K255" s="329"/>
      <c r="L255" s="329"/>
      <c r="M255" s="329"/>
      <c r="N255" s="329"/>
      <c r="O255" s="329"/>
      <c r="P255" s="337"/>
      <c r="Q255" s="337"/>
      <c r="R255" s="337"/>
      <c r="S255" s="337"/>
      <c r="T255" s="337"/>
      <c r="U255" s="337"/>
      <c r="V255" s="337"/>
      <c r="W255" s="337"/>
      <c r="X255" s="339"/>
      <c r="Y255" s="339"/>
      <c r="Z255" s="339"/>
    </row>
    <row r="256" ht="16.5" customHeight="1" spans="1:26">
      <c r="A256" s="326"/>
      <c r="B256" s="327"/>
      <c r="C256" s="327"/>
      <c r="D256" s="330"/>
      <c r="E256" s="332"/>
      <c r="F256" s="330"/>
      <c r="G256" s="329">
        <v>2</v>
      </c>
      <c r="H256" s="329">
        <v>1.05</v>
      </c>
      <c r="I256" s="329">
        <v>0.22</v>
      </c>
      <c r="J256" s="329"/>
      <c r="K256" s="329">
        <v>0.01</v>
      </c>
      <c r="L256" s="329">
        <f t="shared" ref="L256:L263" si="17">ROUND(G256*H256,4)</f>
        <v>2.1</v>
      </c>
      <c r="M256" s="329">
        <f>ROUND(G256*H256*I256,4)</f>
        <v>0.462</v>
      </c>
      <c r="N256" s="329">
        <f>ROUND(G256*H256*I256*K256,4)</f>
        <v>0.0046</v>
      </c>
      <c r="O256" s="329"/>
      <c r="P256" s="337"/>
      <c r="Q256" s="337"/>
      <c r="R256" s="337"/>
      <c r="S256" s="337"/>
      <c r="T256" s="337"/>
      <c r="U256" s="337"/>
      <c r="V256" s="337"/>
      <c r="W256" s="337"/>
      <c r="X256" s="339"/>
      <c r="Y256" s="339"/>
      <c r="Z256" s="339"/>
    </row>
    <row r="257" ht="16.5" customHeight="1" spans="1:26">
      <c r="A257" s="326"/>
      <c r="B257" s="327"/>
      <c r="C257" s="327"/>
      <c r="D257" s="330"/>
      <c r="E257" s="332"/>
      <c r="F257" s="330"/>
      <c r="G257" s="329">
        <v>1</v>
      </c>
      <c r="H257" s="329">
        <v>1.95</v>
      </c>
      <c r="I257" s="329">
        <v>0.885</v>
      </c>
      <c r="J257" s="329"/>
      <c r="K257" s="329">
        <v>0.01</v>
      </c>
      <c r="L257" s="329">
        <f t="shared" si="17"/>
        <v>1.95</v>
      </c>
      <c r="M257" s="329">
        <f>ROUND(G257*H257*I257,4)</f>
        <v>1.7258</v>
      </c>
      <c r="N257" s="329">
        <f>ROUND(G257*H257*I257*K257,4)</f>
        <v>0.0173</v>
      </c>
      <c r="O257" s="329"/>
      <c r="P257" s="337"/>
      <c r="Q257" s="337"/>
      <c r="R257" s="337"/>
      <c r="S257" s="337"/>
      <c r="T257" s="337"/>
      <c r="U257" s="337"/>
      <c r="V257" s="337"/>
      <c r="W257" s="337"/>
      <c r="X257" s="339"/>
      <c r="Y257" s="339"/>
      <c r="Z257" s="339"/>
    </row>
    <row r="258" ht="16.5" customHeight="1" spans="1:26">
      <c r="A258" s="326"/>
      <c r="B258" s="327"/>
      <c r="C258" s="327"/>
      <c r="D258" s="330"/>
      <c r="E258" s="332" t="s">
        <v>294</v>
      </c>
      <c r="F258" s="330"/>
      <c r="G258" s="329">
        <v>1</v>
      </c>
      <c r="H258" s="329">
        <v>5</v>
      </c>
      <c r="I258" s="329">
        <v>11.89</v>
      </c>
      <c r="J258" s="329"/>
      <c r="K258" s="329">
        <v>0.01</v>
      </c>
      <c r="L258" s="329">
        <f t="shared" si="17"/>
        <v>5</v>
      </c>
      <c r="M258" s="329">
        <f>ROUND(G258*H258*I258,4)</f>
        <v>59.45</v>
      </c>
      <c r="N258" s="329">
        <f>ROUND(G258*H258*I258*K258,4)</f>
        <v>0.5945</v>
      </c>
      <c r="O258" s="329"/>
      <c r="P258" s="337"/>
      <c r="Q258" s="337"/>
      <c r="R258" s="337"/>
      <c r="S258" s="337"/>
      <c r="T258" s="337"/>
      <c r="U258" s="337"/>
      <c r="V258" s="337"/>
      <c r="W258" s="337"/>
      <c r="X258" s="339"/>
      <c r="Y258" s="339"/>
      <c r="Z258" s="339"/>
    </row>
    <row r="259" ht="16.5" customHeight="1" spans="1:26">
      <c r="A259" s="326"/>
      <c r="B259" s="327"/>
      <c r="C259" s="327"/>
      <c r="D259" s="330"/>
      <c r="E259" s="332"/>
      <c r="F259" s="330"/>
      <c r="G259" s="329">
        <v>2</v>
      </c>
      <c r="H259" s="329">
        <v>0.22</v>
      </c>
      <c r="I259" s="329">
        <v>0.11</v>
      </c>
      <c r="J259" s="329"/>
      <c r="K259" s="329">
        <v>0.01</v>
      </c>
      <c r="L259" s="329">
        <f t="shared" si="17"/>
        <v>0.44</v>
      </c>
      <c r="M259" s="329">
        <f>ROUND(G259*H259*I259,4)</f>
        <v>0.0484</v>
      </c>
      <c r="N259" s="329">
        <f>ROUND(G259*H259*I259*K259,4)</f>
        <v>0.0005</v>
      </c>
      <c r="O259" s="329"/>
      <c r="P259" s="337"/>
      <c r="Q259" s="337"/>
      <c r="R259" s="337"/>
      <c r="S259" s="337"/>
      <c r="T259" s="337"/>
      <c r="U259" s="337"/>
      <c r="V259" s="337"/>
      <c r="W259" s="337"/>
      <c r="X259" s="339"/>
      <c r="Y259" s="339"/>
      <c r="Z259" s="339"/>
    </row>
    <row r="260" ht="16.5" customHeight="1" spans="1:26">
      <c r="A260" s="326"/>
      <c r="B260" s="327"/>
      <c r="C260" s="327"/>
      <c r="D260" s="330"/>
      <c r="E260" s="332" t="s">
        <v>295</v>
      </c>
      <c r="F260" s="330"/>
      <c r="G260" s="329">
        <v>-1</v>
      </c>
      <c r="H260" s="329">
        <v>3</v>
      </c>
      <c r="I260" s="329">
        <v>2.26</v>
      </c>
      <c r="J260" s="329"/>
      <c r="K260" s="329">
        <v>0.01</v>
      </c>
      <c r="L260" s="329">
        <f t="shared" si="17"/>
        <v>-3</v>
      </c>
      <c r="M260" s="329">
        <f>ROUND(G260*H260*I260,4)</f>
        <v>-6.78</v>
      </c>
      <c r="N260" s="329">
        <f>ROUND(G260*H260*I260*K260,4)</f>
        <v>-0.0678</v>
      </c>
      <c r="O260" s="329"/>
      <c r="P260" s="337"/>
      <c r="Q260" s="337"/>
      <c r="R260" s="337"/>
      <c r="S260" s="337"/>
      <c r="T260" s="337"/>
      <c r="U260" s="337"/>
      <c r="V260" s="337"/>
      <c r="W260" s="337"/>
      <c r="X260" s="339"/>
      <c r="Y260" s="339"/>
      <c r="Z260" s="339"/>
    </row>
    <row r="261" ht="16.5" customHeight="1" spans="1:26">
      <c r="A261" s="326"/>
      <c r="B261" s="327"/>
      <c r="C261" s="327"/>
      <c r="D261" s="330"/>
      <c r="E261" s="332" t="s">
        <v>296</v>
      </c>
      <c r="F261" s="330"/>
      <c r="G261" s="329">
        <v>2</v>
      </c>
      <c r="H261" s="329">
        <f>12.775+0.11</f>
        <v>12.885</v>
      </c>
      <c r="I261" s="329"/>
      <c r="J261" s="329">
        <v>0.12</v>
      </c>
      <c r="K261" s="329">
        <v>0.01</v>
      </c>
      <c r="L261" s="329">
        <f t="shared" si="17"/>
        <v>25.77</v>
      </c>
      <c r="M261" s="329">
        <f>ROUND(G261*H261,4)</f>
        <v>25.77</v>
      </c>
      <c r="N261" s="329">
        <f>ROUND(G261*H261*J261*K261,4)</f>
        <v>0.0309</v>
      </c>
      <c r="O261" s="329"/>
      <c r="P261" s="337"/>
      <c r="Q261" s="337"/>
      <c r="R261" s="337"/>
      <c r="S261" s="337"/>
      <c r="T261" s="337"/>
      <c r="U261" s="337"/>
      <c r="V261" s="337"/>
      <c r="W261" s="337"/>
      <c r="X261" s="339"/>
      <c r="Y261" s="339"/>
      <c r="Z261" s="339"/>
    </row>
    <row r="262" ht="16.5" customHeight="1" spans="1:26">
      <c r="A262" s="326"/>
      <c r="B262" s="327"/>
      <c r="C262" s="327"/>
      <c r="D262" s="330"/>
      <c r="E262" s="332"/>
      <c r="F262" s="330"/>
      <c r="G262" s="329">
        <v>2</v>
      </c>
      <c r="H262" s="329">
        <v>5</v>
      </c>
      <c r="I262" s="329"/>
      <c r="J262" s="329">
        <v>0.12</v>
      </c>
      <c r="K262" s="329">
        <v>0.01</v>
      </c>
      <c r="L262" s="329">
        <f t="shared" si="17"/>
        <v>10</v>
      </c>
      <c r="M262" s="329">
        <f>ROUND(G262*H262,4)</f>
        <v>10</v>
      </c>
      <c r="N262" s="329">
        <f>ROUND(G262*H262*J262*K262,4)</f>
        <v>0.012</v>
      </c>
      <c r="O262" s="329"/>
      <c r="P262" s="337"/>
      <c r="Q262" s="337"/>
      <c r="R262" s="337"/>
      <c r="S262" s="337"/>
      <c r="T262" s="337"/>
      <c r="U262" s="337"/>
      <c r="V262" s="337"/>
      <c r="W262" s="337"/>
      <c r="X262" s="339"/>
      <c r="Y262" s="339"/>
      <c r="Z262" s="339"/>
    </row>
    <row r="263" ht="16.5" customHeight="1" spans="1:26">
      <c r="A263" s="326"/>
      <c r="B263" s="327"/>
      <c r="C263" s="327"/>
      <c r="D263" s="330"/>
      <c r="E263" s="332" t="s">
        <v>297</v>
      </c>
      <c r="F263" s="330"/>
      <c r="G263" s="329">
        <v>2</v>
      </c>
      <c r="H263" s="329">
        <v>5.26</v>
      </c>
      <c r="I263" s="329"/>
      <c r="J263" s="329">
        <v>0.12</v>
      </c>
      <c r="K263" s="329">
        <v>0.01</v>
      </c>
      <c r="L263" s="329">
        <f t="shared" si="17"/>
        <v>10.52</v>
      </c>
      <c r="M263" s="329">
        <f>ROUND(G263*H263,4)</f>
        <v>10.52</v>
      </c>
      <c r="N263" s="329">
        <f>ROUND(G263*H263*J263*K263,4)</f>
        <v>0.0126</v>
      </c>
      <c r="O263" s="329"/>
      <c r="P263" s="337"/>
      <c r="Q263" s="337"/>
      <c r="R263" s="337"/>
      <c r="S263" s="337"/>
      <c r="T263" s="337"/>
      <c r="U263" s="337"/>
      <c r="V263" s="337"/>
      <c r="W263" s="337"/>
      <c r="X263" s="339"/>
      <c r="Y263" s="339"/>
      <c r="Z263" s="339"/>
    </row>
    <row r="264" ht="16.5" customHeight="1" spans="1:26">
      <c r="A264" s="326"/>
      <c r="B264" s="327"/>
      <c r="C264" s="327"/>
      <c r="D264" s="330"/>
      <c r="E264" s="333" t="s">
        <v>300</v>
      </c>
      <c r="F264" s="330"/>
      <c r="G264" s="329"/>
      <c r="H264" s="329"/>
      <c r="I264" s="329"/>
      <c r="J264" s="329"/>
      <c r="K264" s="329"/>
      <c r="L264" s="329"/>
      <c r="M264" s="329"/>
      <c r="N264" s="329"/>
      <c r="O264" s="329"/>
      <c r="P264" s="337"/>
      <c r="Q264" s="337"/>
      <c r="R264" s="337"/>
      <c r="S264" s="337"/>
      <c r="T264" s="337"/>
      <c r="U264" s="337"/>
      <c r="V264" s="337"/>
      <c r="W264" s="337"/>
      <c r="X264" s="339"/>
      <c r="Y264" s="339"/>
      <c r="Z264" s="339"/>
    </row>
    <row r="265" ht="16.5" customHeight="1" spans="1:26">
      <c r="A265" s="326"/>
      <c r="B265" s="327"/>
      <c r="C265" s="327"/>
      <c r="D265" s="330"/>
      <c r="E265" s="332" t="s">
        <v>293</v>
      </c>
      <c r="F265" s="330"/>
      <c r="G265" s="329">
        <v>2</v>
      </c>
      <c r="H265" s="329">
        <v>0.4</v>
      </c>
      <c r="I265" s="329">
        <v>0.22</v>
      </c>
      <c r="J265" s="329"/>
      <c r="K265" s="329">
        <v>0.01</v>
      </c>
      <c r="L265" s="329">
        <f t="shared" ref="L265:L273" si="18">ROUND(G265*H265,4)</f>
        <v>0.8</v>
      </c>
      <c r="M265" s="329">
        <f t="shared" ref="M265:M270" si="19">ROUND(G265*H265*I265,4)</f>
        <v>0.176</v>
      </c>
      <c r="N265" s="329">
        <f t="shared" ref="N265:N270" si="20">ROUND(G265*H265*I265*K265,4)</f>
        <v>0.0018</v>
      </c>
      <c r="O265" s="329"/>
      <c r="P265" s="337"/>
      <c r="Q265" s="337"/>
      <c r="R265" s="337"/>
      <c r="S265" s="337"/>
      <c r="T265" s="337"/>
      <c r="U265" s="337"/>
      <c r="V265" s="337"/>
      <c r="W265" s="337"/>
      <c r="X265" s="339"/>
      <c r="Y265" s="339"/>
      <c r="Z265" s="339"/>
    </row>
    <row r="266" ht="16.5" customHeight="1" spans="1:26">
      <c r="A266" s="326"/>
      <c r="B266" s="327"/>
      <c r="C266" s="327"/>
      <c r="D266" s="330"/>
      <c r="E266" s="332"/>
      <c r="F266" s="330"/>
      <c r="G266" s="329">
        <v>2</v>
      </c>
      <c r="H266" s="329">
        <v>1.072</v>
      </c>
      <c r="I266" s="329">
        <v>0.51</v>
      </c>
      <c r="J266" s="329"/>
      <c r="K266" s="329">
        <v>0.01</v>
      </c>
      <c r="L266" s="329">
        <f t="shared" si="18"/>
        <v>2.144</v>
      </c>
      <c r="M266" s="329">
        <f t="shared" si="19"/>
        <v>1.0934</v>
      </c>
      <c r="N266" s="329">
        <f t="shared" si="20"/>
        <v>0.0109</v>
      </c>
      <c r="O266" s="329"/>
      <c r="P266" s="337"/>
      <c r="Q266" s="337"/>
      <c r="R266" s="337"/>
      <c r="S266" s="337"/>
      <c r="T266" s="337"/>
      <c r="U266" s="337"/>
      <c r="V266" s="337"/>
      <c r="W266" s="337"/>
      <c r="X266" s="339"/>
      <c r="Y266" s="339"/>
      <c r="Z266" s="339"/>
    </row>
    <row r="267" ht="16.5" customHeight="1" spans="1:26">
      <c r="A267" s="326"/>
      <c r="B267" s="327"/>
      <c r="C267" s="327"/>
      <c r="D267" s="330"/>
      <c r="E267" s="332"/>
      <c r="F267" s="330"/>
      <c r="G267" s="329">
        <v>1</v>
      </c>
      <c r="H267" s="329">
        <v>1.95</v>
      </c>
      <c r="I267" s="329">
        <v>0.885</v>
      </c>
      <c r="J267" s="329"/>
      <c r="K267" s="329">
        <v>0.01</v>
      </c>
      <c r="L267" s="329">
        <f t="shared" si="18"/>
        <v>1.95</v>
      </c>
      <c r="M267" s="329">
        <f t="shared" si="19"/>
        <v>1.7258</v>
      </c>
      <c r="N267" s="329">
        <f t="shared" si="20"/>
        <v>0.0173</v>
      </c>
      <c r="O267" s="329"/>
      <c r="P267" s="337"/>
      <c r="Q267" s="337"/>
      <c r="R267" s="337"/>
      <c r="S267" s="337"/>
      <c r="T267" s="337"/>
      <c r="U267" s="337"/>
      <c r="V267" s="337"/>
      <c r="W267" s="337"/>
      <c r="X267" s="339"/>
      <c r="Y267" s="339"/>
      <c r="Z267" s="339"/>
    </row>
    <row r="268" ht="16.5" customHeight="1" spans="1:26">
      <c r="A268" s="326"/>
      <c r="B268" s="327"/>
      <c r="C268" s="327"/>
      <c r="D268" s="330"/>
      <c r="E268" s="332" t="s">
        <v>294</v>
      </c>
      <c r="F268" s="330"/>
      <c r="G268" s="329">
        <v>1</v>
      </c>
      <c r="H268" s="329">
        <v>5</v>
      </c>
      <c r="I268" s="329">
        <v>11.89</v>
      </c>
      <c r="J268" s="329"/>
      <c r="K268" s="329">
        <v>0.01</v>
      </c>
      <c r="L268" s="329">
        <f t="shared" si="18"/>
        <v>5</v>
      </c>
      <c r="M268" s="329">
        <f t="shared" si="19"/>
        <v>59.45</v>
      </c>
      <c r="N268" s="329">
        <f t="shared" si="20"/>
        <v>0.5945</v>
      </c>
      <c r="O268" s="329"/>
      <c r="P268" s="337"/>
      <c r="Q268" s="337"/>
      <c r="R268" s="337"/>
      <c r="S268" s="337"/>
      <c r="T268" s="337"/>
      <c r="U268" s="337"/>
      <c r="V268" s="337"/>
      <c r="W268" s="337"/>
      <c r="X268" s="339"/>
      <c r="Y268" s="339"/>
      <c r="Z268" s="339"/>
    </row>
    <row r="269" ht="16.5" customHeight="1" spans="1:26">
      <c r="A269" s="326"/>
      <c r="B269" s="327"/>
      <c r="C269" s="327"/>
      <c r="D269" s="330"/>
      <c r="E269" s="332"/>
      <c r="F269" s="330"/>
      <c r="G269" s="329">
        <v>2</v>
      </c>
      <c r="H269" s="329">
        <v>0.22</v>
      </c>
      <c r="I269" s="329">
        <v>0.11</v>
      </c>
      <c r="J269" s="329"/>
      <c r="K269" s="329">
        <v>0.01</v>
      </c>
      <c r="L269" s="329">
        <f t="shared" si="18"/>
        <v>0.44</v>
      </c>
      <c r="M269" s="329">
        <f t="shared" si="19"/>
        <v>0.0484</v>
      </c>
      <c r="N269" s="329">
        <f t="shared" si="20"/>
        <v>0.0005</v>
      </c>
      <c r="O269" s="329"/>
      <c r="P269" s="337"/>
      <c r="Q269" s="337"/>
      <c r="R269" s="337"/>
      <c r="S269" s="337"/>
      <c r="T269" s="337"/>
      <c r="U269" s="337"/>
      <c r="V269" s="337"/>
      <c r="W269" s="337"/>
      <c r="X269" s="339"/>
      <c r="Y269" s="339"/>
      <c r="Z269" s="339"/>
    </row>
    <row r="270" ht="16.5" customHeight="1" spans="1:26">
      <c r="A270" s="326"/>
      <c r="B270" s="327"/>
      <c r="C270" s="327"/>
      <c r="D270" s="330"/>
      <c r="E270" s="332" t="s">
        <v>295</v>
      </c>
      <c r="F270" s="330"/>
      <c r="G270" s="329">
        <v>-1</v>
      </c>
      <c r="H270" s="329">
        <v>3</v>
      </c>
      <c r="I270" s="329">
        <v>2.26</v>
      </c>
      <c r="J270" s="329"/>
      <c r="K270" s="329">
        <v>0.01</v>
      </c>
      <c r="L270" s="329">
        <f t="shared" si="18"/>
        <v>-3</v>
      </c>
      <c r="M270" s="329">
        <f t="shared" si="19"/>
        <v>-6.78</v>
      </c>
      <c r="N270" s="329">
        <f t="shared" si="20"/>
        <v>-0.0678</v>
      </c>
      <c r="O270" s="329"/>
      <c r="P270" s="337"/>
      <c r="Q270" s="337"/>
      <c r="R270" s="337"/>
      <c r="S270" s="337"/>
      <c r="T270" s="337"/>
      <c r="U270" s="337"/>
      <c r="V270" s="337"/>
      <c r="W270" s="337"/>
      <c r="X270" s="339"/>
      <c r="Y270" s="339"/>
      <c r="Z270" s="339"/>
    </row>
    <row r="271" ht="16.5" customHeight="1" spans="1:26">
      <c r="A271" s="326"/>
      <c r="B271" s="327"/>
      <c r="C271" s="327"/>
      <c r="D271" s="330"/>
      <c r="E271" s="332" t="s">
        <v>296</v>
      </c>
      <c r="F271" s="330"/>
      <c r="G271" s="329">
        <v>2</v>
      </c>
      <c r="H271" s="329">
        <v>13.04</v>
      </c>
      <c r="I271" s="329"/>
      <c r="J271" s="329">
        <v>0.12</v>
      </c>
      <c r="K271" s="329">
        <v>0.01</v>
      </c>
      <c r="L271" s="329">
        <f t="shared" si="18"/>
        <v>26.08</v>
      </c>
      <c r="M271" s="329">
        <f>ROUND(G271*H271,4)</f>
        <v>26.08</v>
      </c>
      <c r="N271" s="329">
        <f>ROUND(G271*H271*J271*K271,4)</f>
        <v>0.0313</v>
      </c>
      <c r="O271" s="329"/>
      <c r="P271" s="337"/>
      <c r="Q271" s="337"/>
      <c r="R271" s="337"/>
      <c r="S271" s="337"/>
      <c r="T271" s="337"/>
      <c r="U271" s="337"/>
      <c r="V271" s="337"/>
      <c r="W271" s="337"/>
      <c r="X271" s="339"/>
      <c r="Y271" s="339"/>
      <c r="Z271" s="339"/>
    </row>
    <row r="272" ht="16.5" customHeight="1" spans="1:26">
      <c r="A272" s="326"/>
      <c r="B272" s="327"/>
      <c r="C272" s="327"/>
      <c r="D272" s="330"/>
      <c r="E272" s="332"/>
      <c r="F272" s="330"/>
      <c r="G272" s="329">
        <v>2</v>
      </c>
      <c r="H272" s="329">
        <v>5</v>
      </c>
      <c r="I272" s="329"/>
      <c r="J272" s="329">
        <v>0.12</v>
      </c>
      <c r="K272" s="329">
        <v>0.01</v>
      </c>
      <c r="L272" s="329">
        <f t="shared" si="18"/>
        <v>10</v>
      </c>
      <c r="M272" s="329">
        <f>ROUND(G272*H272,4)</f>
        <v>10</v>
      </c>
      <c r="N272" s="329">
        <f>ROUND(G272*H272*J272*K272,4)</f>
        <v>0.012</v>
      </c>
      <c r="O272" s="329"/>
      <c r="P272" s="337"/>
      <c r="Q272" s="337"/>
      <c r="R272" s="337"/>
      <c r="S272" s="337"/>
      <c r="T272" s="337"/>
      <c r="U272" s="337"/>
      <c r="V272" s="337"/>
      <c r="W272" s="337"/>
      <c r="X272" s="339"/>
      <c r="Y272" s="339"/>
      <c r="Z272" s="339"/>
    </row>
    <row r="273" ht="16.5" customHeight="1" spans="1:26">
      <c r="A273" s="326"/>
      <c r="B273" s="327"/>
      <c r="C273" s="327"/>
      <c r="D273" s="330"/>
      <c r="E273" s="332" t="s">
        <v>297</v>
      </c>
      <c r="F273" s="330"/>
      <c r="G273" s="329">
        <v>2</v>
      </c>
      <c r="H273" s="329">
        <v>5.26</v>
      </c>
      <c r="I273" s="329"/>
      <c r="J273" s="329">
        <v>0.12</v>
      </c>
      <c r="K273" s="329">
        <v>0.01</v>
      </c>
      <c r="L273" s="329">
        <f t="shared" si="18"/>
        <v>10.52</v>
      </c>
      <c r="M273" s="329">
        <f>ROUND(G273*H273,4)</f>
        <v>10.52</v>
      </c>
      <c r="N273" s="329">
        <f>ROUND(G273*H273*J273*K273,4)</f>
        <v>0.0126</v>
      </c>
      <c r="O273" s="329"/>
      <c r="P273" s="337"/>
      <c r="Q273" s="337"/>
      <c r="R273" s="337"/>
      <c r="S273" s="337"/>
      <c r="T273" s="337"/>
      <c r="U273" s="337"/>
      <c r="V273" s="337"/>
      <c r="W273" s="337"/>
      <c r="X273" s="339"/>
      <c r="Y273" s="339"/>
      <c r="Z273" s="339"/>
    </row>
    <row r="274" ht="16.5" customHeight="1" spans="1:26">
      <c r="A274" s="326"/>
      <c r="B274" s="327"/>
      <c r="C274" s="327"/>
      <c r="D274" s="330"/>
      <c r="E274" s="333" t="s">
        <v>301</v>
      </c>
      <c r="F274" s="330"/>
      <c r="G274" s="329"/>
      <c r="H274" s="329"/>
      <c r="I274" s="329"/>
      <c r="J274" s="329"/>
      <c r="K274" s="329"/>
      <c r="L274" s="329"/>
      <c r="M274" s="329"/>
      <c r="N274" s="329"/>
      <c r="O274" s="329"/>
      <c r="P274" s="337"/>
      <c r="Q274" s="337"/>
      <c r="R274" s="337"/>
      <c r="S274" s="337"/>
      <c r="T274" s="337"/>
      <c r="U274" s="337"/>
      <c r="V274" s="337"/>
      <c r="W274" s="337"/>
      <c r="X274" s="339"/>
      <c r="Y274" s="339"/>
      <c r="Z274" s="339"/>
    </row>
    <row r="275" ht="16.5" customHeight="1" spans="1:26">
      <c r="A275" s="326"/>
      <c r="B275" s="327"/>
      <c r="C275" s="327"/>
      <c r="D275" s="330"/>
      <c r="E275" s="332" t="s">
        <v>294</v>
      </c>
      <c r="F275" s="330"/>
      <c r="G275" s="329">
        <v>1</v>
      </c>
      <c r="H275" s="329">
        <v>5</v>
      </c>
      <c r="I275" s="329">
        <v>10.91</v>
      </c>
      <c r="J275" s="329"/>
      <c r="K275" s="329">
        <v>0.01</v>
      </c>
      <c r="L275" s="329">
        <f t="shared" ref="L275:L280" si="21">ROUND(G275*H275,4)</f>
        <v>5</v>
      </c>
      <c r="M275" s="329">
        <f>ROUND(G275*H275*I275,4)</f>
        <v>54.55</v>
      </c>
      <c r="N275" s="329">
        <f>ROUND(G275*H275*I275*K275,4)</f>
        <v>0.5455</v>
      </c>
      <c r="O275" s="329"/>
      <c r="P275" s="337"/>
      <c r="Q275" s="337"/>
      <c r="R275" s="337"/>
      <c r="S275" s="337"/>
      <c r="T275" s="337"/>
      <c r="U275" s="337"/>
      <c r="V275" s="337"/>
      <c r="W275" s="337"/>
      <c r="X275" s="339"/>
      <c r="Y275" s="339"/>
      <c r="Z275" s="339"/>
    </row>
    <row r="276" ht="16.5" customHeight="1" spans="1:26">
      <c r="A276" s="326"/>
      <c r="B276" s="327"/>
      <c r="C276" s="327"/>
      <c r="D276" s="330"/>
      <c r="E276" s="332" t="s">
        <v>302</v>
      </c>
      <c r="F276" s="330"/>
      <c r="G276" s="329">
        <v>-1</v>
      </c>
      <c r="H276" s="329">
        <v>4.56</v>
      </c>
      <c r="I276" s="329">
        <v>3.58</v>
      </c>
      <c r="J276" s="329"/>
      <c r="K276" s="329">
        <v>0.01</v>
      </c>
      <c r="L276" s="329">
        <f t="shared" si="21"/>
        <v>-4.56</v>
      </c>
      <c r="M276" s="329">
        <f>ROUND(G276*H276*I276,4)</f>
        <v>-16.3248</v>
      </c>
      <c r="N276" s="329">
        <f>ROUND(G276*H276*I276*K276,4)</f>
        <v>-0.1632</v>
      </c>
      <c r="O276" s="329"/>
      <c r="P276" s="337"/>
      <c r="Q276" s="337"/>
      <c r="R276" s="337"/>
      <c r="S276" s="337"/>
      <c r="T276" s="337"/>
      <c r="U276" s="337"/>
      <c r="V276" s="337"/>
      <c r="W276" s="337"/>
      <c r="X276" s="339"/>
      <c r="Y276" s="339"/>
      <c r="Z276" s="339"/>
    </row>
    <row r="277" ht="16.5" customHeight="1" spans="1:26">
      <c r="A277" s="326"/>
      <c r="B277" s="327"/>
      <c r="C277" s="327"/>
      <c r="D277" s="330"/>
      <c r="E277" s="332" t="s">
        <v>296</v>
      </c>
      <c r="F277" s="330"/>
      <c r="G277" s="329">
        <v>2</v>
      </c>
      <c r="H277" s="329">
        <v>10.91</v>
      </c>
      <c r="I277" s="329"/>
      <c r="J277" s="329">
        <v>0.12</v>
      </c>
      <c r="K277" s="329">
        <v>0.01</v>
      </c>
      <c r="L277" s="329">
        <f t="shared" si="21"/>
        <v>21.82</v>
      </c>
      <c r="M277" s="329">
        <f>ROUND(G277*H277,4)</f>
        <v>21.82</v>
      </c>
      <c r="N277" s="329">
        <f>ROUND(G277*H277*J277*K277,4)</f>
        <v>0.0262</v>
      </c>
      <c r="O277" s="329"/>
      <c r="P277" s="337"/>
      <c r="Q277" s="337"/>
      <c r="R277" s="337"/>
      <c r="S277" s="337"/>
      <c r="T277" s="337"/>
      <c r="U277" s="337"/>
      <c r="V277" s="337"/>
      <c r="W277" s="337"/>
      <c r="X277" s="339"/>
      <c r="Y277" s="339"/>
      <c r="Z277" s="339"/>
    </row>
    <row r="278" ht="16.5" customHeight="1" spans="1:26">
      <c r="A278" s="326"/>
      <c r="B278" s="327"/>
      <c r="C278" s="327"/>
      <c r="D278" s="330"/>
      <c r="E278" s="332"/>
      <c r="F278" s="330"/>
      <c r="G278" s="329">
        <v>2</v>
      </c>
      <c r="H278" s="329">
        <v>5</v>
      </c>
      <c r="I278" s="329"/>
      <c r="J278" s="329">
        <v>0.12</v>
      </c>
      <c r="K278" s="329">
        <v>0.01</v>
      </c>
      <c r="L278" s="329">
        <f t="shared" si="21"/>
        <v>10</v>
      </c>
      <c r="M278" s="329">
        <f>ROUND(G278*H278,4)</f>
        <v>10</v>
      </c>
      <c r="N278" s="329">
        <f>ROUND(G278*H278*J278*K278,4)</f>
        <v>0.012</v>
      </c>
      <c r="O278" s="329"/>
      <c r="P278" s="337"/>
      <c r="Q278" s="337"/>
      <c r="R278" s="337"/>
      <c r="S278" s="337"/>
      <c r="T278" s="337"/>
      <c r="U278" s="337"/>
      <c r="V278" s="337"/>
      <c r="W278" s="337"/>
      <c r="X278" s="339"/>
      <c r="Y278" s="339"/>
      <c r="Z278" s="339"/>
    </row>
    <row r="279" ht="16.5" customHeight="1" spans="1:26">
      <c r="A279" s="326"/>
      <c r="B279" s="327"/>
      <c r="C279" s="327"/>
      <c r="D279" s="330"/>
      <c r="E279" s="332" t="s">
        <v>297</v>
      </c>
      <c r="F279" s="330"/>
      <c r="G279" s="329">
        <v>2</v>
      </c>
      <c r="H279" s="329">
        <f>3.58+4.56</f>
        <v>8.14</v>
      </c>
      <c r="I279" s="329"/>
      <c r="J279" s="329">
        <v>0.12</v>
      </c>
      <c r="K279" s="329">
        <v>0.01</v>
      </c>
      <c r="L279" s="329">
        <f t="shared" si="21"/>
        <v>16.28</v>
      </c>
      <c r="M279" s="329">
        <f>ROUND(G279*H279,4)</f>
        <v>16.28</v>
      </c>
      <c r="N279" s="329">
        <f>ROUND(G279*H279*J279*K279,4)</f>
        <v>0.0195</v>
      </c>
      <c r="O279" s="329"/>
      <c r="P279" s="337"/>
      <c r="Q279" s="337"/>
      <c r="R279" s="337"/>
      <c r="S279" s="337"/>
      <c r="T279" s="337"/>
      <c r="U279" s="337"/>
      <c r="V279" s="337"/>
      <c r="W279" s="337"/>
      <c r="X279" s="339"/>
      <c r="Y279" s="339"/>
      <c r="Z279" s="339"/>
    </row>
    <row r="280" ht="16.5" customHeight="1" spans="1:26">
      <c r="A280" s="326"/>
      <c r="B280" s="327"/>
      <c r="C280" s="327"/>
      <c r="D280" s="330"/>
      <c r="E280" s="332" t="s">
        <v>303</v>
      </c>
      <c r="F280" s="330"/>
      <c r="G280" s="329">
        <v>-1</v>
      </c>
      <c r="H280" s="329">
        <f>O199</f>
        <v>0.4967</v>
      </c>
      <c r="I280" s="329"/>
      <c r="J280" s="329"/>
      <c r="K280" s="329"/>
      <c r="L280" s="329">
        <f t="shared" si="21"/>
        <v>-0.4967</v>
      </c>
      <c r="M280" s="329">
        <f>ROUND(G280*H280,4)</f>
        <v>-0.4967</v>
      </c>
      <c r="N280" s="329">
        <f>ROUND(G280*H280,4)</f>
        <v>-0.4967</v>
      </c>
      <c r="O280" s="329"/>
      <c r="P280" s="337"/>
      <c r="Q280" s="337"/>
      <c r="R280" s="337"/>
      <c r="S280" s="337"/>
      <c r="T280" s="337"/>
      <c r="U280" s="337"/>
      <c r="V280" s="337"/>
      <c r="W280" s="337"/>
      <c r="X280" s="339"/>
      <c r="Y280" s="339"/>
      <c r="Z280" s="339"/>
    </row>
    <row r="281" ht="60.75" customHeight="1" spans="1:37">
      <c r="A281" s="326">
        <v>9</v>
      </c>
      <c r="B281" s="327" t="s">
        <v>304</v>
      </c>
      <c r="C281" s="327"/>
      <c r="D281" s="330" t="s">
        <v>304</v>
      </c>
      <c r="E281" s="331" t="s">
        <v>305</v>
      </c>
      <c r="F281" s="330" t="s">
        <v>107</v>
      </c>
      <c r="G281" s="329"/>
      <c r="H281" s="329"/>
      <c r="I281" s="329"/>
      <c r="J281" s="329"/>
      <c r="K281" s="329"/>
      <c r="L281" s="329">
        <f>ROUND(SUM(L282:L291),4)</f>
        <v>13.841</v>
      </c>
      <c r="M281" s="329">
        <f>ROUND(SUM(M282:M291),4)</f>
        <v>22.2576</v>
      </c>
      <c r="N281" s="329"/>
      <c r="O281" s="329">
        <f>ROUND(SUM(N281:N291),4)</f>
        <v>0.3289</v>
      </c>
      <c r="P281" s="337">
        <v>654481</v>
      </c>
      <c r="Q281" s="337"/>
      <c r="R281" s="337">
        <v>5263268</v>
      </c>
      <c r="S281" s="337">
        <v>651440</v>
      </c>
      <c r="T281" s="337">
        <f>ROUND(ROUND(O281,4)*P281,0)</f>
        <v>215259</v>
      </c>
      <c r="U281" s="337">
        <f>ROUND(ROUND(O281,4)*Q281,0)</f>
        <v>0</v>
      </c>
      <c r="V281" s="337">
        <f>ROUND(ROUND(O281,4)*R281,0)</f>
        <v>1731089</v>
      </c>
      <c r="W281" s="337">
        <f>ROUND(ROUND(O281,4)*S281,0)</f>
        <v>214259</v>
      </c>
      <c r="X281" s="339"/>
      <c r="Y281" s="339"/>
      <c r="Z281" s="339"/>
      <c r="AA281" s="325" t="s">
        <v>47</v>
      </c>
      <c r="AB281" s="325" t="s">
        <v>48</v>
      </c>
      <c r="AC281" s="324" t="s">
        <v>306</v>
      </c>
      <c r="AD281" s="324" t="s">
        <v>307</v>
      </c>
      <c r="AE281" s="324" t="s">
        <v>214</v>
      </c>
      <c r="AK281" s="325" t="s">
        <v>51</v>
      </c>
    </row>
    <row r="282" ht="16.5" customHeight="1" spans="1:26">
      <c r="A282" s="326"/>
      <c r="B282" s="327"/>
      <c r="C282" s="327"/>
      <c r="D282" s="330"/>
      <c r="E282" s="333" t="s">
        <v>308</v>
      </c>
      <c r="F282" s="330"/>
      <c r="G282" s="329"/>
      <c r="H282" s="329"/>
      <c r="I282" s="329"/>
      <c r="J282" s="329"/>
      <c r="K282" s="329"/>
      <c r="L282" s="329"/>
      <c r="M282" s="329"/>
      <c r="N282" s="329"/>
      <c r="O282" s="329"/>
      <c r="P282" s="337"/>
      <c r="Q282" s="337"/>
      <c r="R282" s="337"/>
      <c r="S282" s="337"/>
      <c r="T282" s="337"/>
      <c r="U282" s="337"/>
      <c r="V282" s="337"/>
      <c r="W282" s="337"/>
      <c r="X282" s="339"/>
      <c r="Y282" s="339"/>
      <c r="Z282" s="339"/>
    </row>
    <row r="283" ht="16.5" customHeight="1" spans="1:26">
      <c r="A283" s="326"/>
      <c r="B283" s="327"/>
      <c r="C283" s="327"/>
      <c r="D283" s="330"/>
      <c r="E283" s="332" t="s">
        <v>309</v>
      </c>
      <c r="F283" s="330"/>
      <c r="G283" s="329">
        <v>2</v>
      </c>
      <c r="H283" s="329">
        <v>1.895</v>
      </c>
      <c r="I283" s="329">
        <f>(0.74+0.11)/2</f>
        <v>0.425</v>
      </c>
      <c r="J283" s="329">
        <v>2</v>
      </c>
      <c r="K283" s="329">
        <v>0.01</v>
      </c>
      <c r="L283" s="329">
        <f t="shared" ref="L283:L291" si="22">ROUND(G283*H283,4)</f>
        <v>3.79</v>
      </c>
      <c r="M283" s="329">
        <f>ROUND(G283*H283*I283,4)</f>
        <v>1.6108</v>
      </c>
      <c r="N283" s="329">
        <f>ROUND(G283*H283*I283*J283*K283,4)</f>
        <v>0.0322</v>
      </c>
      <c r="O283" s="329"/>
      <c r="P283" s="337"/>
      <c r="Q283" s="337"/>
      <c r="R283" s="337"/>
      <c r="S283" s="337"/>
      <c r="T283" s="337"/>
      <c r="U283" s="337"/>
      <c r="V283" s="337"/>
      <c r="W283" s="337"/>
      <c r="X283" s="339"/>
      <c r="Y283" s="339"/>
      <c r="Z283" s="339"/>
    </row>
    <row r="284" ht="16.5" customHeight="1" spans="1:26">
      <c r="A284" s="326"/>
      <c r="B284" s="327"/>
      <c r="C284" s="327"/>
      <c r="D284" s="330"/>
      <c r="E284" s="332"/>
      <c r="F284" s="330"/>
      <c r="G284" s="329">
        <v>2</v>
      </c>
      <c r="H284" s="329">
        <v>0.55</v>
      </c>
      <c r="I284" s="329">
        <v>0.11</v>
      </c>
      <c r="J284" s="329">
        <v>2</v>
      </c>
      <c r="K284" s="329">
        <v>0.01</v>
      </c>
      <c r="L284" s="329">
        <f t="shared" si="22"/>
        <v>1.1</v>
      </c>
      <c r="M284" s="329">
        <f>ROUND(G284*H284*I284,4)</f>
        <v>0.121</v>
      </c>
      <c r="N284" s="329">
        <f>ROUND(G284*H284*I284*J284*K284,4)</f>
        <v>0.0024</v>
      </c>
      <c r="O284" s="329"/>
      <c r="P284" s="337"/>
      <c r="Q284" s="337"/>
      <c r="R284" s="337"/>
      <c r="S284" s="337"/>
      <c r="T284" s="337"/>
      <c r="U284" s="337"/>
      <c r="V284" s="337"/>
      <c r="W284" s="337"/>
      <c r="X284" s="339"/>
      <c r="Y284" s="339"/>
      <c r="Z284" s="339"/>
    </row>
    <row r="285" ht="16.5" customHeight="1" spans="1:26">
      <c r="A285" s="326"/>
      <c r="B285" s="327"/>
      <c r="C285" s="327"/>
      <c r="D285" s="330"/>
      <c r="E285" s="332" t="s">
        <v>310</v>
      </c>
      <c r="F285" s="330"/>
      <c r="G285" s="329">
        <v>2</v>
      </c>
      <c r="H285" s="329">
        <f>(0.765+0.97)/2</f>
        <v>0.8675</v>
      </c>
      <c r="I285" s="329">
        <v>1.378</v>
      </c>
      <c r="J285" s="329"/>
      <c r="K285" s="329">
        <v>0.01</v>
      </c>
      <c r="L285" s="329">
        <f t="shared" si="22"/>
        <v>1.735</v>
      </c>
      <c r="M285" s="329">
        <f>ROUND(G285*H285*I285,4)</f>
        <v>2.3908</v>
      </c>
      <c r="N285" s="329">
        <f>ROUND(G285*H285*I285*K285,4)</f>
        <v>0.0239</v>
      </c>
      <c r="O285" s="329"/>
      <c r="P285" s="337"/>
      <c r="Q285" s="337"/>
      <c r="R285" s="337"/>
      <c r="S285" s="337"/>
      <c r="T285" s="337"/>
      <c r="U285" s="337"/>
      <c r="V285" s="337"/>
      <c r="W285" s="337"/>
      <c r="X285" s="339"/>
      <c r="Y285" s="339"/>
      <c r="Z285" s="339"/>
    </row>
    <row r="286" ht="16.5" customHeight="1" spans="1:26">
      <c r="A286" s="326"/>
      <c r="B286" s="327"/>
      <c r="C286" s="327"/>
      <c r="D286" s="330"/>
      <c r="E286" s="332"/>
      <c r="F286" s="330"/>
      <c r="G286" s="329">
        <v>2</v>
      </c>
      <c r="H286" s="329">
        <f>(1.378)</f>
        <v>1.378</v>
      </c>
      <c r="I286" s="329"/>
      <c r="J286" s="329">
        <v>0.1</v>
      </c>
      <c r="K286" s="329">
        <v>0.01</v>
      </c>
      <c r="L286" s="329">
        <f t="shared" si="22"/>
        <v>2.756</v>
      </c>
      <c r="M286" s="329">
        <f>ROUND(G286*H286,4)</f>
        <v>2.756</v>
      </c>
      <c r="N286" s="329">
        <f>ROUND(G286*H286*J286*K286,4)</f>
        <v>0.0028</v>
      </c>
      <c r="O286" s="329"/>
      <c r="P286" s="337"/>
      <c r="Q286" s="337"/>
      <c r="R286" s="337"/>
      <c r="S286" s="337"/>
      <c r="T286" s="337"/>
      <c r="U286" s="337"/>
      <c r="V286" s="337"/>
      <c r="W286" s="337"/>
      <c r="X286" s="339"/>
      <c r="Y286" s="339"/>
      <c r="Z286" s="339"/>
    </row>
    <row r="287" ht="16.5" customHeight="1" spans="1:26">
      <c r="A287" s="326"/>
      <c r="B287" s="327"/>
      <c r="C287" s="327"/>
      <c r="D287" s="330"/>
      <c r="E287" s="332"/>
      <c r="F287" s="330"/>
      <c r="G287" s="329">
        <v>2</v>
      </c>
      <c r="H287" s="329">
        <v>0.765</v>
      </c>
      <c r="I287" s="329"/>
      <c r="J287" s="329">
        <v>0.1</v>
      </c>
      <c r="K287" s="329">
        <v>0.01</v>
      </c>
      <c r="L287" s="329">
        <f t="shared" si="22"/>
        <v>1.53</v>
      </c>
      <c r="M287" s="329">
        <f>ROUND(G287*H287,4)</f>
        <v>1.53</v>
      </c>
      <c r="N287" s="329">
        <f>ROUND(G287*H287*J287*K287,4)</f>
        <v>0.0015</v>
      </c>
      <c r="O287" s="329"/>
      <c r="P287" s="337"/>
      <c r="Q287" s="337"/>
      <c r="R287" s="337"/>
      <c r="S287" s="337"/>
      <c r="T287" s="337"/>
      <c r="U287" s="337"/>
      <c r="V287" s="337"/>
      <c r="W287" s="337"/>
      <c r="X287" s="339"/>
      <c r="Y287" s="339"/>
      <c r="Z287" s="339"/>
    </row>
    <row r="288" ht="16.5" customHeight="1" spans="1:26">
      <c r="A288" s="326"/>
      <c r="B288" s="327"/>
      <c r="C288" s="327"/>
      <c r="D288" s="330"/>
      <c r="E288" s="332" t="s">
        <v>311</v>
      </c>
      <c r="F288" s="330"/>
      <c r="G288" s="329">
        <v>2</v>
      </c>
      <c r="H288" s="329">
        <f>0.11+0.15*2</f>
        <v>0.41</v>
      </c>
      <c r="I288" s="329">
        <v>1.338</v>
      </c>
      <c r="J288" s="329"/>
      <c r="K288" s="329">
        <v>0.01</v>
      </c>
      <c r="L288" s="329">
        <f t="shared" si="22"/>
        <v>0.82</v>
      </c>
      <c r="M288" s="329">
        <f>ROUND(G288*H288*I288,4)</f>
        <v>1.0972</v>
      </c>
      <c r="N288" s="329">
        <f>ROUND(G288*H288*I288*K288,4)</f>
        <v>0.011</v>
      </c>
      <c r="O288" s="329"/>
      <c r="P288" s="337"/>
      <c r="Q288" s="337"/>
      <c r="R288" s="337"/>
      <c r="S288" s="337"/>
      <c r="T288" s="337"/>
      <c r="U288" s="337"/>
      <c r="V288" s="337"/>
      <c r="W288" s="337"/>
      <c r="X288" s="339"/>
      <c r="Y288" s="339"/>
      <c r="Z288" s="339"/>
    </row>
    <row r="289" ht="16.5" customHeight="1" spans="1:26">
      <c r="A289" s="326"/>
      <c r="B289" s="327"/>
      <c r="C289" s="327"/>
      <c r="D289" s="330"/>
      <c r="E289" s="332" t="s">
        <v>312</v>
      </c>
      <c r="F289" s="330"/>
      <c r="G289" s="329">
        <v>1</v>
      </c>
      <c r="H289" s="329">
        <v>5</v>
      </c>
      <c r="I289" s="329">
        <f>2.798+0.55</f>
        <v>3.348</v>
      </c>
      <c r="J289" s="329">
        <v>2</v>
      </c>
      <c r="K289" s="329">
        <v>0.01</v>
      </c>
      <c r="L289" s="329">
        <f t="shared" si="22"/>
        <v>5</v>
      </c>
      <c r="M289" s="329">
        <f>ROUND(G289*H289*I289,4)</f>
        <v>16.74</v>
      </c>
      <c r="N289" s="329">
        <f>ROUND(G289*H289*I289*J289*K289,4)</f>
        <v>0.3348</v>
      </c>
      <c r="O289" s="329"/>
      <c r="P289" s="337"/>
      <c r="Q289" s="337"/>
      <c r="R289" s="337"/>
      <c r="S289" s="337"/>
      <c r="T289" s="337"/>
      <c r="U289" s="337"/>
      <c r="V289" s="337"/>
      <c r="W289" s="337"/>
      <c r="X289" s="339"/>
      <c r="Y289" s="339"/>
      <c r="Z289" s="339"/>
    </row>
    <row r="290" ht="16.5" customHeight="1" spans="1:26">
      <c r="A290" s="326"/>
      <c r="B290" s="327"/>
      <c r="C290" s="327"/>
      <c r="D290" s="330"/>
      <c r="E290" s="332"/>
      <c r="F290" s="330"/>
      <c r="G290" s="329">
        <v>-1</v>
      </c>
      <c r="H290" s="329">
        <v>2.635</v>
      </c>
      <c r="I290" s="329">
        <v>1.38</v>
      </c>
      <c r="J290" s="329">
        <v>2</v>
      </c>
      <c r="K290" s="329">
        <v>0.01</v>
      </c>
      <c r="L290" s="329">
        <f t="shared" si="22"/>
        <v>-2.635</v>
      </c>
      <c r="M290" s="329">
        <f>ROUND(G290*H290*I290,4)</f>
        <v>-3.6363</v>
      </c>
      <c r="N290" s="329">
        <f>ROUND(G290*H290*I290*J290*K290,4)</f>
        <v>-0.0727</v>
      </c>
      <c r="O290" s="329"/>
      <c r="P290" s="337"/>
      <c r="Q290" s="337"/>
      <c r="R290" s="337"/>
      <c r="S290" s="337"/>
      <c r="T290" s="337"/>
      <c r="U290" s="337"/>
      <c r="V290" s="337"/>
      <c r="W290" s="337"/>
      <c r="X290" s="339"/>
      <c r="Y290" s="339"/>
      <c r="Z290" s="339"/>
    </row>
    <row r="291" ht="16.5" customHeight="1" spans="1:26">
      <c r="A291" s="326"/>
      <c r="B291" s="327"/>
      <c r="C291" s="327"/>
      <c r="D291" s="330"/>
      <c r="E291" s="332"/>
      <c r="F291" s="330"/>
      <c r="G291" s="329">
        <v>-1</v>
      </c>
      <c r="H291" s="329">
        <v>0.255</v>
      </c>
      <c r="I291" s="329">
        <v>1.38</v>
      </c>
      <c r="J291" s="329">
        <v>2</v>
      </c>
      <c r="K291" s="329">
        <v>0.01</v>
      </c>
      <c r="L291" s="329">
        <f t="shared" si="22"/>
        <v>-0.255</v>
      </c>
      <c r="M291" s="329">
        <f>ROUND(G291*H291*I291,4)</f>
        <v>-0.3519</v>
      </c>
      <c r="N291" s="329">
        <f>ROUND(G291*H291*I291*J291*K291,4)</f>
        <v>-0.007</v>
      </c>
      <c r="O291" s="329"/>
      <c r="P291" s="337"/>
      <c r="Q291" s="337"/>
      <c r="R291" s="337"/>
      <c r="S291" s="337"/>
      <c r="T291" s="337"/>
      <c r="U291" s="337"/>
      <c r="V291" s="337"/>
      <c r="W291" s="337"/>
      <c r="X291" s="339"/>
      <c r="Y291" s="339"/>
      <c r="Z291" s="339"/>
    </row>
    <row r="292" ht="48.75" customHeight="1" spans="1:37">
      <c r="A292" s="326">
        <v>10</v>
      </c>
      <c r="B292" s="327" t="s">
        <v>313</v>
      </c>
      <c r="C292" s="327"/>
      <c r="D292" s="330" t="s">
        <v>313</v>
      </c>
      <c r="E292" s="331" t="s">
        <v>314</v>
      </c>
      <c r="F292" s="330" t="s">
        <v>114</v>
      </c>
      <c r="G292" s="329"/>
      <c r="H292" s="329"/>
      <c r="I292" s="329"/>
      <c r="J292" s="329"/>
      <c r="K292" s="329"/>
      <c r="L292" s="329"/>
      <c r="M292" s="329"/>
      <c r="N292" s="329"/>
      <c r="O292" s="329">
        <f>ROUND(SUM(N292:N322),4)</f>
        <v>0.3809</v>
      </c>
      <c r="P292" s="337">
        <v>16497030</v>
      </c>
      <c r="Q292" s="337"/>
      <c r="R292" s="337">
        <v>3947214</v>
      </c>
      <c r="S292" s="337">
        <v>177143</v>
      </c>
      <c r="T292" s="337">
        <f>ROUND(ROUND(O292,4)*P292,0)</f>
        <v>6283719</v>
      </c>
      <c r="U292" s="337">
        <f>ROUND(ROUND(O292,4)*Q292,0)</f>
        <v>0</v>
      </c>
      <c r="V292" s="337">
        <f>ROUND(ROUND(O292,4)*R292,0)</f>
        <v>1503494</v>
      </c>
      <c r="W292" s="337">
        <f>ROUND(ROUND(O292,4)*S292,0)</f>
        <v>67474</v>
      </c>
      <c r="X292" s="339"/>
      <c r="Y292" s="339"/>
      <c r="Z292" s="339"/>
      <c r="AA292" s="325" t="s">
        <v>47</v>
      </c>
      <c r="AB292" s="325" t="s">
        <v>48</v>
      </c>
      <c r="AC292" s="324" t="s">
        <v>134</v>
      </c>
      <c r="AD292" s="324" t="s">
        <v>315</v>
      </c>
      <c r="AE292" s="324" t="s">
        <v>224</v>
      </c>
      <c r="AK292" s="325" t="s">
        <v>51</v>
      </c>
    </row>
    <row r="293" ht="16.5" customHeight="1" spans="1:26">
      <c r="A293" s="326"/>
      <c r="B293" s="327"/>
      <c r="C293" s="327"/>
      <c r="D293" s="330"/>
      <c r="E293" s="333" t="s">
        <v>257</v>
      </c>
      <c r="F293" s="330"/>
      <c r="G293" s="329"/>
      <c r="H293" s="329"/>
      <c r="I293" s="329"/>
      <c r="J293" s="329"/>
      <c r="K293" s="329"/>
      <c r="L293" s="329"/>
      <c r="M293" s="329"/>
      <c r="N293" s="329"/>
      <c r="O293" s="329"/>
      <c r="P293" s="337"/>
      <c r="Q293" s="337"/>
      <c r="R293" s="337"/>
      <c r="S293" s="337"/>
      <c r="T293" s="337"/>
      <c r="U293" s="337"/>
      <c r="V293" s="337"/>
      <c r="W293" s="337"/>
      <c r="X293" s="339"/>
      <c r="Y293" s="339"/>
      <c r="Z293" s="339"/>
    </row>
    <row r="294" ht="16.5" customHeight="1" spans="1:26">
      <c r="A294" s="326"/>
      <c r="B294" s="327"/>
      <c r="C294" s="327"/>
      <c r="D294" s="330"/>
      <c r="E294" s="332" t="s">
        <v>316</v>
      </c>
      <c r="F294" s="330"/>
      <c r="G294" s="329"/>
      <c r="H294" s="329"/>
      <c r="I294" s="329"/>
      <c r="J294" s="329"/>
      <c r="K294" s="329"/>
      <c r="L294" s="329"/>
      <c r="M294" s="329"/>
      <c r="N294" s="329">
        <v>0.031</v>
      </c>
      <c r="O294" s="329"/>
      <c r="P294" s="337"/>
      <c r="Q294" s="337"/>
      <c r="R294" s="337"/>
      <c r="S294" s="337"/>
      <c r="T294" s="337"/>
      <c r="U294" s="337"/>
      <c r="V294" s="337"/>
      <c r="W294" s="337"/>
      <c r="X294" s="339"/>
      <c r="Y294" s="339"/>
      <c r="Z294" s="339"/>
    </row>
    <row r="295" ht="16.5" customHeight="1" spans="1:26">
      <c r="A295" s="326"/>
      <c r="B295" s="327"/>
      <c r="C295" s="327"/>
      <c r="D295" s="330"/>
      <c r="E295" s="332" t="s">
        <v>317</v>
      </c>
      <c r="F295" s="330"/>
      <c r="G295" s="329"/>
      <c r="H295" s="329"/>
      <c r="I295" s="329"/>
      <c r="J295" s="329"/>
      <c r="K295" s="329"/>
      <c r="L295" s="329"/>
      <c r="M295" s="329"/>
      <c r="N295" s="329">
        <v>0.0016</v>
      </c>
      <c r="O295" s="329"/>
      <c r="P295" s="337"/>
      <c r="Q295" s="337"/>
      <c r="R295" s="337"/>
      <c r="S295" s="337"/>
      <c r="T295" s="337"/>
      <c r="U295" s="337"/>
      <c r="V295" s="337"/>
      <c r="W295" s="337"/>
      <c r="X295" s="339"/>
      <c r="Y295" s="339"/>
      <c r="Z295" s="339"/>
    </row>
    <row r="296" ht="16.5" customHeight="1" spans="1:26">
      <c r="A296" s="326"/>
      <c r="B296" s="327"/>
      <c r="C296" s="327"/>
      <c r="D296" s="330"/>
      <c r="E296" s="332" t="s">
        <v>318</v>
      </c>
      <c r="F296" s="330"/>
      <c r="G296" s="329"/>
      <c r="H296" s="329"/>
      <c r="I296" s="329"/>
      <c r="J296" s="329"/>
      <c r="K296" s="329"/>
      <c r="L296" s="329"/>
      <c r="M296" s="329"/>
      <c r="N296" s="329">
        <v>0.0007</v>
      </c>
      <c r="O296" s="329"/>
      <c r="P296" s="337"/>
      <c r="Q296" s="337"/>
      <c r="R296" s="337"/>
      <c r="S296" s="337"/>
      <c r="T296" s="337"/>
      <c r="U296" s="337"/>
      <c r="V296" s="337"/>
      <c r="W296" s="337"/>
      <c r="X296" s="339"/>
      <c r="Y296" s="339"/>
      <c r="Z296" s="339"/>
    </row>
    <row r="297" ht="16.5" customHeight="1" spans="1:26">
      <c r="A297" s="326"/>
      <c r="B297" s="327"/>
      <c r="C297" s="327"/>
      <c r="D297" s="330"/>
      <c r="E297" s="332" t="s">
        <v>319</v>
      </c>
      <c r="F297" s="330"/>
      <c r="G297" s="329"/>
      <c r="H297" s="329"/>
      <c r="I297" s="329"/>
      <c r="J297" s="329"/>
      <c r="K297" s="329"/>
      <c r="L297" s="329"/>
      <c r="M297" s="329"/>
      <c r="N297" s="329">
        <v>0.004</v>
      </c>
      <c r="O297" s="329"/>
      <c r="P297" s="337"/>
      <c r="Q297" s="337"/>
      <c r="R297" s="337"/>
      <c r="S297" s="337"/>
      <c r="T297" s="337"/>
      <c r="U297" s="337"/>
      <c r="V297" s="337"/>
      <c r="W297" s="337"/>
      <c r="X297" s="339"/>
      <c r="Y297" s="339"/>
      <c r="Z297" s="339"/>
    </row>
    <row r="298" ht="16.5" customHeight="1" spans="1:26">
      <c r="A298" s="326"/>
      <c r="B298" s="327"/>
      <c r="C298" s="327"/>
      <c r="D298" s="330"/>
      <c r="E298" s="332" t="s">
        <v>320</v>
      </c>
      <c r="F298" s="330"/>
      <c r="G298" s="329"/>
      <c r="H298" s="329"/>
      <c r="I298" s="329"/>
      <c r="J298" s="329"/>
      <c r="K298" s="329"/>
      <c r="L298" s="329"/>
      <c r="M298" s="329"/>
      <c r="N298" s="329">
        <v>0.0046</v>
      </c>
      <c r="O298" s="329"/>
      <c r="P298" s="337"/>
      <c r="Q298" s="337"/>
      <c r="R298" s="337"/>
      <c r="S298" s="337"/>
      <c r="T298" s="337"/>
      <c r="U298" s="337"/>
      <c r="V298" s="337"/>
      <c r="W298" s="337"/>
      <c r="X298" s="339"/>
      <c r="Y298" s="339"/>
      <c r="Z298" s="339"/>
    </row>
    <row r="299" ht="16.5" customHeight="1" spans="1:26">
      <c r="A299" s="326"/>
      <c r="B299" s="327"/>
      <c r="C299" s="327"/>
      <c r="D299" s="330"/>
      <c r="E299" s="332" t="s">
        <v>321</v>
      </c>
      <c r="F299" s="330"/>
      <c r="G299" s="329"/>
      <c r="H299" s="329"/>
      <c r="I299" s="329"/>
      <c r="J299" s="329"/>
      <c r="K299" s="329"/>
      <c r="L299" s="329"/>
      <c r="M299" s="329"/>
      <c r="N299" s="329">
        <v>0.0304</v>
      </c>
      <c r="O299" s="329"/>
      <c r="P299" s="337"/>
      <c r="Q299" s="337"/>
      <c r="R299" s="337"/>
      <c r="S299" s="337"/>
      <c r="T299" s="337"/>
      <c r="U299" s="337"/>
      <c r="V299" s="337"/>
      <c r="W299" s="337"/>
      <c r="X299" s="339"/>
      <c r="Y299" s="339"/>
      <c r="Z299" s="339"/>
    </row>
    <row r="300" ht="16.5" customHeight="1" spans="1:26">
      <c r="A300" s="326"/>
      <c r="B300" s="327"/>
      <c r="C300" s="327"/>
      <c r="D300" s="330"/>
      <c r="E300" s="332" t="s">
        <v>322</v>
      </c>
      <c r="F300" s="330"/>
      <c r="G300" s="329"/>
      <c r="H300" s="329"/>
      <c r="I300" s="329"/>
      <c r="J300" s="329"/>
      <c r="K300" s="329"/>
      <c r="L300" s="329"/>
      <c r="M300" s="329"/>
      <c r="N300" s="329">
        <v>0.0018</v>
      </c>
      <c r="O300" s="329"/>
      <c r="P300" s="337"/>
      <c r="Q300" s="337"/>
      <c r="R300" s="337"/>
      <c r="S300" s="337"/>
      <c r="T300" s="337"/>
      <c r="U300" s="337"/>
      <c r="V300" s="337"/>
      <c r="W300" s="337"/>
      <c r="X300" s="339"/>
      <c r="Y300" s="339"/>
      <c r="Z300" s="339"/>
    </row>
    <row r="301" ht="16.5" customHeight="1" spans="1:26">
      <c r="A301" s="326"/>
      <c r="B301" s="327"/>
      <c r="C301" s="327"/>
      <c r="D301" s="330"/>
      <c r="E301" s="332" t="s">
        <v>323</v>
      </c>
      <c r="F301" s="330"/>
      <c r="G301" s="329"/>
      <c r="H301" s="329"/>
      <c r="I301" s="329"/>
      <c r="J301" s="329"/>
      <c r="K301" s="329"/>
      <c r="L301" s="329"/>
      <c r="M301" s="329"/>
      <c r="N301" s="329">
        <v>0.0071</v>
      </c>
      <c r="O301" s="329"/>
      <c r="P301" s="337"/>
      <c r="Q301" s="337"/>
      <c r="R301" s="337"/>
      <c r="S301" s="337"/>
      <c r="T301" s="337"/>
      <c r="U301" s="337"/>
      <c r="V301" s="337"/>
      <c r="W301" s="337"/>
      <c r="X301" s="339"/>
      <c r="Y301" s="339"/>
      <c r="Z301" s="339"/>
    </row>
    <row r="302" ht="16.5" customHeight="1" spans="1:26">
      <c r="A302" s="326"/>
      <c r="B302" s="327"/>
      <c r="C302" s="327"/>
      <c r="D302" s="330"/>
      <c r="E302" s="333" t="s">
        <v>266</v>
      </c>
      <c r="F302" s="330"/>
      <c r="G302" s="329"/>
      <c r="H302" s="329"/>
      <c r="I302" s="329"/>
      <c r="J302" s="329"/>
      <c r="K302" s="329"/>
      <c r="L302" s="329"/>
      <c r="M302" s="329"/>
      <c r="N302" s="329"/>
      <c r="O302" s="329"/>
      <c r="P302" s="337"/>
      <c r="Q302" s="337"/>
      <c r="R302" s="337"/>
      <c r="S302" s="337"/>
      <c r="T302" s="337"/>
      <c r="U302" s="337"/>
      <c r="V302" s="337"/>
      <c r="W302" s="337"/>
      <c r="X302" s="339"/>
      <c r="Y302" s="339"/>
      <c r="Z302" s="339"/>
    </row>
    <row r="303" ht="16.5" customHeight="1" spans="1:26">
      <c r="A303" s="326"/>
      <c r="B303" s="327"/>
      <c r="C303" s="327"/>
      <c r="D303" s="330"/>
      <c r="E303" s="332" t="s">
        <v>324</v>
      </c>
      <c r="F303" s="330"/>
      <c r="G303" s="329"/>
      <c r="H303" s="329"/>
      <c r="I303" s="329"/>
      <c r="J303" s="329"/>
      <c r="K303" s="329"/>
      <c r="L303" s="329"/>
      <c r="M303" s="329"/>
      <c r="N303" s="329">
        <v>0.062</v>
      </c>
      <c r="O303" s="329"/>
      <c r="P303" s="337"/>
      <c r="Q303" s="337"/>
      <c r="R303" s="337"/>
      <c r="S303" s="337"/>
      <c r="T303" s="337"/>
      <c r="U303" s="337"/>
      <c r="V303" s="337"/>
      <c r="W303" s="337"/>
      <c r="X303" s="339"/>
      <c r="Y303" s="339"/>
      <c r="Z303" s="339"/>
    </row>
    <row r="304" ht="16.5" customHeight="1" spans="1:26">
      <c r="A304" s="326"/>
      <c r="B304" s="327"/>
      <c r="C304" s="327"/>
      <c r="D304" s="330"/>
      <c r="E304" s="332" t="s">
        <v>325</v>
      </c>
      <c r="F304" s="330"/>
      <c r="G304" s="329"/>
      <c r="H304" s="329"/>
      <c r="I304" s="329"/>
      <c r="J304" s="329"/>
      <c r="K304" s="329"/>
      <c r="L304" s="329"/>
      <c r="M304" s="329"/>
      <c r="N304" s="329">
        <v>0.0032</v>
      </c>
      <c r="O304" s="329"/>
      <c r="P304" s="337"/>
      <c r="Q304" s="337"/>
      <c r="R304" s="337"/>
      <c r="S304" s="337"/>
      <c r="T304" s="337"/>
      <c r="U304" s="337"/>
      <c r="V304" s="337"/>
      <c r="W304" s="337"/>
      <c r="X304" s="339"/>
      <c r="Y304" s="339"/>
      <c r="Z304" s="339"/>
    </row>
    <row r="305" ht="16.5" customHeight="1" spans="1:26">
      <c r="A305" s="326"/>
      <c r="B305" s="327"/>
      <c r="C305" s="327"/>
      <c r="D305" s="330"/>
      <c r="E305" s="332" t="s">
        <v>326</v>
      </c>
      <c r="F305" s="330"/>
      <c r="G305" s="329"/>
      <c r="H305" s="329"/>
      <c r="I305" s="329"/>
      <c r="J305" s="329"/>
      <c r="K305" s="329"/>
      <c r="L305" s="329"/>
      <c r="M305" s="329"/>
      <c r="N305" s="329">
        <v>0.0014</v>
      </c>
      <c r="O305" s="329"/>
      <c r="P305" s="337"/>
      <c r="Q305" s="337"/>
      <c r="R305" s="337"/>
      <c r="S305" s="337"/>
      <c r="T305" s="337"/>
      <c r="U305" s="337"/>
      <c r="V305" s="337"/>
      <c r="W305" s="337"/>
      <c r="X305" s="339"/>
      <c r="Y305" s="339"/>
      <c r="Z305" s="339"/>
    </row>
    <row r="306" ht="16.5" customHeight="1" spans="1:26">
      <c r="A306" s="326"/>
      <c r="B306" s="327"/>
      <c r="C306" s="327"/>
      <c r="D306" s="330"/>
      <c r="E306" s="332" t="s">
        <v>327</v>
      </c>
      <c r="F306" s="330"/>
      <c r="G306" s="329"/>
      <c r="H306" s="329"/>
      <c r="I306" s="329"/>
      <c r="J306" s="329"/>
      <c r="K306" s="329"/>
      <c r="L306" s="329"/>
      <c r="M306" s="329"/>
      <c r="N306" s="329">
        <v>0.008</v>
      </c>
      <c r="O306" s="329"/>
      <c r="P306" s="337"/>
      <c r="Q306" s="337"/>
      <c r="R306" s="337"/>
      <c r="S306" s="337"/>
      <c r="T306" s="337"/>
      <c r="U306" s="337"/>
      <c r="V306" s="337"/>
      <c r="W306" s="337"/>
      <c r="X306" s="339"/>
      <c r="Y306" s="339"/>
      <c r="Z306" s="339"/>
    </row>
    <row r="307" ht="16.5" customHeight="1" spans="1:26">
      <c r="A307" s="326"/>
      <c r="B307" s="327"/>
      <c r="C307" s="327"/>
      <c r="D307" s="330"/>
      <c r="E307" s="332" t="s">
        <v>328</v>
      </c>
      <c r="F307" s="330"/>
      <c r="G307" s="329"/>
      <c r="H307" s="329"/>
      <c r="I307" s="329"/>
      <c r="J307" s="329"/>
      <c r="K307" s="329"/>
      <c r="L307" s="329"/>
      <c r="M307" s="329"/>
      <c r="N307" s="329">
        <v>0.0068</v>
      </c>
      <c r="O307" s="329"/>
      <c r="P307" s="337"/>
      <c r="Q307" s="337"/>
      <c r="R307" s="337"/>
      <c r="S307" s="337"/>
      <c r="T307" s="337"/>
      <c r="U307" s="337"/>
      <c r="V307" s="337"/>
      <c r="W307" s="337"/>
      <c r="X307" s="339"/>
      <c r="Y307" s="339"/>
      <c r="Z307" s="339"/>
    </row>
    <row r="308" ht="16.5" customHeight="1" spans="1:26">
      <c r="A308" s="326"/>
      <c r="B308" s="327"/>
      <c r="C308" s="327"/>
      <c r="D308" s="330"/>
      <c r="E308" s="332" t="s">
        <v>329</v>
      </c>
      <c r="F308" s="330"/>
      <c r="G308" s="329"/>
      <c r="H308" s="329"/>
      <c r="I308" s="329"/>
      <c r="J308" s="329"/>
      <c r="K308" s="329"/>
      <c r="L308" s="329"/>
      <c r="M308" s="329"/>
      <c r="N308" s="329">
        <v>0.0456</v>
      </c>
      <c r="O308" s="329"/>
      <c r="P308" s="337"/>
      <c r="Q308" s="337"/>
      <c r="R308" s="337"/>
      <c r="S308" s="337"/>
      <c r="T308" s="337"/>
      <c r="U308" s="337"/>
      <c r="V308" s="337"/>
      <c r="W308" s="337"/>
      <c r="X308" s="339"/>
      <c r="Y308" s="339"/>
      <c r="Z308" s="339"/>
    </row>
    <row r="309" ht="16.5" customHeight="1" spans="1:26">
      <c r="A309" s="326"/>
      <c r="B309" s="327"/>
      <c r="C309" s="327"/>
      <c r="D309" s="330"/>
      <c r="E309" s="332" t="s">
        <v>330</v>
      </c>
      <c r="F309" s="330"/>
      <c r="G309" s="329"/>
      <c r="H309" s="329"/>
      <c r="I309" s="329"/>
      <c r="J309" s="329"/>
      <c r="K309" s="329"/>
      <c r="L309" s="329"/>
      <c r="M309" s="329"/>
      <c r="N309" s="329">
        <v>0.0172</v>
      </c>
      <c r="O309" s="329"/>
      <c r="P309" s="337"/>
      <c r="Q309" s="337"/>
      <c r="R309" s="337"/>
      <c r="S309" s="337"/>
      <c r="T309" s="337"/>
      <c r="U309" s="337"/>
      <c r="V309" s="337"/>
      <c r="W309" s="337"/>
      <c r="X309" s="339"/>
      <c r="Y309" s="339"/>
      <c r="Z309" s="339"/>
    </row>
    <row r="310" ht="16.5" customHeight="1" spans="1:26">
      <c r="A310" s="326"/>
      <c r="B310" s="327"/>
      <c r="C310" s="327"/>
      <c r="D310" s="330"/>
      <c r="E310" s="332" t="s">
        <v>331</v>
      </c>
      <c r="F310" s="330"/>
      <c r="G310" s="329"/>
      <c r="H310" s="329"/>
      <c r="I310" s="329"/>
      <c r="J310" s="329"/>
      <c r="K310" s="329"/>
      <c r="L310" s="329"/>
      <c r="M310" s="329"/>
      <c r="N310" s="329">
        <v>0.0014</v>
      </c>
      <c r="O310" s="329"/>
      <c r="P310" s="337"/>
      <c r="Q310" s="337"/>
      <c r="R310" s="337"/>
      <c r="S310" s="337"/>
      <c r="T310" s="337"/>
      <c r="U310" s="337"/>
      <c r="V310" s="337"/>
      <c r="W310" s="337"/>
      <c r="X310" s="339"/>
      <c r="Y310" s="339"/>
      <c r="Z310" s="339"/>
    </row>
    <row r="311" ht="16.5" customHeight="1" spans="1:26">
      <c r="A311" s="326"/>
      <c r="B311" s="327"/>
      <c r="C311" s="327"/>
      <c r="D311" s="330"/>
      <c r="E311" s="332" t="s">
        <v>332</v>
      </c>
      <c r="F311" s="330"/>
      <c r="G311" s="329"/>
      <c r="H311" s="329"/>
      <c r="I311" s="329"/>
      <c r="J311" s="329"/>
      <c r="K311" s="329"/>
      <c r="L311" s="329"/>
      <c r="M311" s="329"/>
      <c r="N311" s="329">
        <v>0.0028</v>
      </c>
      <c r="O311" s="329"/>
      <c r="P311" s="337"/>
      <c r="Q311" s="337"/>
      <c r="R311" s="337"/>
      <c r="S311" s="337"/>
      <c r="T311" s="337"/>
      <c r="U311" s="337"/>
      <c r="V311" s="337"/>
      <c r="W311" s="337"/>
      <c r="X311" s="339"/>
      <c r="Y311" s="339"/>
      <c r="Z311" s="339"/>
    </row>
    <row r="312" ht="16.5" customHeight="1" spans="1:26">
      <c r="A312" s="326"/>
      <c r="B312" s="327"/>
      <c r="C312" s="327"/>
      <c r="D312" s="330"/>
      <c r="E312" s="332" t="s">
        <v>333</v>
      </c>
      <c r="F312" s="330"/>
      <c r="G312" s="329"/>
      <c r="H312" s="329"/>
      <c r="I312" s="329"/>
      <c r="J312" s="329"/>
      <c r="K312" s="329"/>
      <c r="L312" s="329"/>
      <c r="M312" s="329"/>
      <c r="N312" s="329">
        <v>0.0058</v>
      </c>
      <c r="O312" s="329"/>
      <c r="P312" s="337"/>
      <c r="Q312" s="337"/>
      <c r="R312" s="337"/>
      <c r="S312" s="337"/>
      <c r="T312" s="337"/>
      <c r="U312" s="337"/>
      <c r="V312" s="337"/>
      <c r="W312" s="337"/>
      <c r="X312" s="339"/>
      <c r="Y312" s="339"/>
      <c r="Z312" s="339"/>
    </row>
    <row r="313" ht="16.5" customHeight="1" spans="1:26">
      <c r="A313" s="326"/>
      <c r="B313" s="327"/>
      <c r="C313" s="327"/>
      <c r="D313" s="330"/>
      <c r="E313" s="333" t="s">
        <v>277</v>
      </c>
      <c r="F313" s="330"/>
      <c r="G313" s="329"/>
      <c r="H313" s="329"/>
      <c r="I313" s="329"/>
      <c r="J313" s="329"/>
      <c r="K313" s="329"/>
      <c r="L313" s="329"/>
      <c r="M313" s="329"/>
      <c r="N313" s="329"/>
      <c r="O313" s="329"/>
      <c r="P313" s="337"/>
      <c r="Q313" s="337"/>
      <c r="R313" s="337"/>
      <c r="S313" s="337"/>
      <c r="T313" s="337"/>
      <c r="U313" s="337"/>
      <c r="V313" s="337"/>
      <c r="W313" s="337"/>
      <c r="X313" s="339"/>
      <c r="Y313" s="339"/>
      <c r="Z313" s="339"/>
    </row>
    <row r="314" ht="16.5" customHeight="1" spans="1:26">
      <c r="A314" s="326"/>
      <c r="B314" s="327"/>
      <c r="C314" s="327"/>
      <c r="D314" s="330"/>
      <c r="E314" s="332" t="s">
        <v>334</v>
      </c>
      <c r="F314" s="330"/>
      <c r="G314" s="329"/>
      <c r="H314" s="329"/>
      <c r="I314" s="329"/>
      <c r="J314" s="329"/>
      <c r="K314" s="329"/>
      <c r="L314" s="329"/>
      <c r="M314" s="329"/>
      <c r="N314" s="329">
        <v>0.031</v>
      </c>
      <c r="O314" s="329"/>
      <c r="P314" s="337"/>
      <c r="Q314" s="337"/>
      <c r="R314" s="337"/>
      <c r="S314" s="337"/>
      <c r="T314" s="337"/>
      <c r="U314" s="337"/>
      <c r="V314" s="337"/>
      <c r="W314" s="337"/>
      <c r="X314" s="339"/>
      <c r="Y314" s="339"/>
      <c r="Z314" s="339"/>
    </row>
    <row r="315" ht="16.5" customHeight="1" spans="1:26">
      <c r="A315" s="326"/>
      <c r="B315" s="327"/>
      <c r="C315" s="327"/>
      <c r="D315" s="330"/>
      <c r="E315" s="332" t="s">
        <v>335</v>
      </c>
      <c r="F315" s="330"/>
      <c r="G315" s="329"/>
      <c r="H315" s="329"/>
      <c r="I315" s="329"/>
      <c r="J315" s="329"/>
      <c r="K315" s="329"/>
      <c r="L315" s="329"/>
      <c r="M315" s="329"/>
      <c r="N315" s="329">
        <v>0.0038</v>
      </c>
      <c r="O315" s="329"/>
      <c r="P315" s="337"/>
      <c r="Q315" s="337"/>
      <c r="R315" s="337"/>
      <c r="S315" s="337"/>
      <c r="T315" s="337"/>
      <c r="U315" s="337"/>
      <c r="V315" s="337"/>
      <c r="W315" s="337"/>
      <c r="X315" s="339"/>
      <c r="Y315" s="339"/>
      <c r="Z315" s="339"/>
    </row>
    <row r="316" ht="16.5" customHeight="1" spans="1:26">
      <c r="A316" s="326"/>
      <c r="B316" s="327"/>
      <c r="C316" s="327"/>
      <c r="D316" s="330"/>
      <c r="E316" s="332" t="s">
        <v>336</v>
      </c>
      <c r="F316" s="330"/>
      <c r="G316" s="329"/>
      <c r="H316" s="329"/>
      <c r="I316" s="329"/>
      <c r="J316" s="329"/>
      <c r="K316" s="329"/>
      <c r="L316" s="329"/>
      <c r="M316" s="329"/>
      <c r="N316" s="329">
        <v>0.004</v>
      </c>
      <c r="O316" s="329"/>
      <c r="P316" s="337"/>
      <c r="Q316" s="337"/>
      <c r="R316" s="337"/>
      <c r="S316" s="337"/>
      <c r="T316" s="337"/>
      <c r="U316" s="337"/>
      <c r="V316" s="337"/>
      <c r="W316" s="337"/>
      <c r="X316" s="339"/>
      <c r="Y316" s="339"/>
      <c r="Z316" s="339"/>
    </row>
    <row r="317" ht="16.5" customHeight="1" spans="1:26">
      <c r="A317" s="326"/>
      <c r="B317" s="327"/>
      <c r="C317" s="327"/>
      <c r="D317" s="330"/>
      <c r="E317" s="332" t="s">
        <v>337</v>
      </c>
      <c r="F317" s="330"/>
      <c r="G317" s="329"/>
      <c r="H317" s="329"/>
      <c r="I317" s="329"/>
      <c r="J317" s="329"/>
      <c r="K317" s="329"/>
      <c r="L317" s="329"/>
      <c r="M317" s="329"/>
      <c r="N317" s="329">
        <v>0.0031</v>
      </c>
      <c r="O317" s="329"/>
      <c r="P317" s="337"/>
      <c r="Q317" s="337"/>
      <c r="R317" s="337"/>
      <c r="S317" s="337"/>
      <c r="T317" s="337"/>
      <c r="U317" s="337"/>
      <c r="V317" s="337"/>
      <c r="W317" s="337"/>
      <c r="X317" s="339"/>
      <c r="Y317" s="339"/>
      <c r="Z317" s="339"/>
    </row>
    <row r="318" ht="16.5" customHeight="1" spans="1:26">
      <c r="A318" s="326"/>
      <c r="B318" s="327"/>
      <c r="C318" s="327"/>
      <c r="D318" s="330"/>
      <c r="E318" s="332" t="s">
        <v>338</v>
      </c>
      <c r="F318" s="330"/>
      <c r="G318" s="329"/>
      <c r="H318" s="329"/>
      <c r="I318" s="329"/>
      <c r="J318" s="329"/>
      <c r="K318" s="329"/>
      <c r="L318" s="329"/>
      <c r="M318" s="329"/>
      <c r="N318" s="329">
        <v>0.0228</v>
      </c>
      <c r="O318" s="329"/>
      <c r="P318" s="337"/>
      <c r="Q318" s="337"/>
      <c r="R318" s="337"/>
      <c r="S318" s="337"/>
      <c r="T318" s="337"/>
      <c r="U318" s="337"/>
      <c r="V318" s="337"/>
      <c r="W318" s="337"/>
      <c r="X318" s="339"/>
      <c r="Y318" s="339"/>
      <c r="Z318" s="339"/>
    </row>
    <row r="319" ht="16.5" customHeight="1" spans="1:26">
      <c r="A319" s="326"/>
      <c r="B319" s="327"/>
      <c r="C319" s="327"/>
      <c r="D319" s="330"/>
      <c r="E319" s="332" t="s">
        <v>339</v>
      </c>
      <c r="F319" s="330"/>
      <c r="G319" s="329"/>
      <c r="H319" s="329"/>
      <c r="I319" s="329"/>
      <c r="J319" s="329"/>
      <c r="K319" s="329"/>
      <c r="L319" s="329"/>
      <c r="M319" s="329"/>
      <c r="N319" s="329">
        <v>0.0086</v>
      </c>
      <c r="O319" s="329"/>
      <c r="P319" s="337"/>
      <c r="Q319" s="337"/>
      <c r="R319" s="337"/>
      <c r="S319" s="337"/>
      <c r="T319" s="337"/>
      <c r="U319" s="337"/>
      <c r="V319" s="337"/>
      <c r="W319" s="337"/>
      <c r="X319" s="339"/>
      <c r="Y319" s="339"/>
      <c r="Z319" s="339"/>
    </row>
    <row r="320" ht="16.5" customHeight="1" spans="1:26">
      <c r="A320" s="326"/>
      <c r="B320" s="327"/>
      <c r="C320" s="327"/>
      <c r="D320" s="330"/>
      <c r="E320" s="333" t="s">
        <v>284</v>
      </c>
      <c r="F320" s="330"/>
      <c r="G320" s="329"/>
      <c r="H320" s="329"/>
      <c r="I320" s="329"/>
      <c r="J320" s="329"/>
      <c r="K320" s="329"/>
      <c r="L320" s="329"/>
      <c r="M320" s="329"/>
      <c r="N320" s="329"/>
      <c r="O320" s="329"/>
      <c r="P320" s="337"/>
      <c r="Q320" s="337"/>
      <c r="R320" s="337"/>
      <c r="S320" s="337"/>
      <c r="T320" s="337"/>
      <c r="U320" s="337"/>
      <c r="V320" s="337"/>
      <c r="W320" s="337"/>
      <c r="X320" s="339"/>
      <c r="Y320" s="339"/>
      <c r="Z320" s="339"/>
    </row>
    <row r="321" ht="16.5" customHeight="1" spans="1:26">
      <c r="A321" s="326"/>
      <c r="B321" s="327"/>
      <c r="C321" s="327"/>
      <c r="D321" s="330"/>
      <c r="E321" s="332" t="s">
        <v>340</v>
      </c>
      <c r="F321" s="330"/>
      <c r="G321" s="329"/>
      <c r="H321" s="329"/>
      <c r="I321" s="329"/>
      <c r="J321" s="329"/>
      <c r="K321" s="329"/>
      <c r="L321" s="329"/>
      <c r="M321" s="329"/>
      <c r="N321" s="329">
        <v>0.0378</v>
      </c>
      <c r="O321" s="329"/>
      <c r="P321" s="337"/>
      <c r="Q321" s="337"/>
      <c r="R321" s="337"/>
      <c r="S321" s="337"/>
      <c r="T321" s="337"/>
      <c r="U321" s="337"/>
      <c r="V321" s="337"/>
      <c r="W321" s="337"/>
      <c r="X321" s="339"/>
      <c r="Y321" s="339"/>
      <c r="Z321" s="339"/>
    </row>
    <row r="322" ht="16.5" customHeight="1" spans="1:26">
      <c r="A322" s="326"/>
      <c r="B322" s="327"/>
      <c r="C322" s="327"/>
      <c r="D322" s="330"/>
      <c r="E322" s="332" t="s">
        <v>341</v>
      </c>
      <c r="F322" s="330"/>
      <c r="G322" s="329"/>
      <c r="H322" s="329"/>
      <c r="I322" s="329"/>
      <c r="J322" s="329"/>
      <c r="K322" s="329"/>
      <c r="L322" s="329"/>
      <c r="M322" s="329"/>
      <c r="N322" s="329">
        <v>0.0344</v>
      </c>
      <c r="O322" s="329"/>
      <c r="P322" s="337"/>
      <c r="Q322" s="337"/>
      <c r="R322" s="337"/>
      <c r="S322" s="337"/>
      <c r="T322" s="337"/>
      <c r="U322" s="337"/>
      <c r="V322" s="337"/>
      <c r="W322" s="337"/>
      <c r="X322" s="339"/>
      <c r="Y322" s="339"/>
      <c r="Z322" s="339"/>
    </row>
    <row r="323" ht="48.75" customHeight="1" spans="1:37">
      <c r="A323" s="326">
        <v>11</v>
      </c>
      <c r="B323" s="327" t="s">
        <v>342</v>
      </c>
      <c r="C323" s="327"/>
      <c r="D323" s="330" t="s">
        <v>342</v>
      </c>
      <c r="E323" s="331" t="s">
        <v>343</v>
      </c>
      <c r="F323" s="330" t="s">
        <v>114</v>
      </c>
      <c r="G323" s="329"/>
      <c r="H323" s="329"/>
      <c r="I323" s="329"/>
      <c r="J323" s="329"/>
      <c r="K323" s="329"/>
      <c r="L323" s="329"/>
      <c r="M323" s="329"/>
      <c r="N323" s="329"/>
      <c r="O323" s="329">
        <f>ROUND(SUM(N323:N353),4)</f>
        <v>1.8704</v>
      </c>
      <c r="P323" s="337">
        <v>16391100</v>
      </c>
      <c r="Q323" s="337"/>
      <c r="R323" s="337">
        <v>2479188</v>
      </c>
      <c r="S323" s="337">
        <v>523941</v>
      </c>
      <c r="T323" s="337">
        <f>ROUND(ROUND(O323,4)*P323,0)</f>
        <v>30657913</v>
      </c>
      <c r="U323" s="337">
        <f>ROUND(ROUND(O323,4)*Q323,0)</f>
        <v>0</v>
      </c>
      <c r="V323" s="337">
        <f>ROUND(ROUND(O323,4)*R323,0)</f>
        <v>4637073</v>
      </c>
      <c r="W323" s="337">
        <f>ROUND(ROUND(O323,4)*S323,0)</f>
        <v>979979</v>
      </c>
      <c r="X323" s="339"/>
      <c r="Y323" s="339"/>
      <c r="Z323" s="339"/>
      <c r="AA323" s="325" t="s">
        <v>47</v>
      </c>
      <c r="AB323" s="325" t="s">
        <v>48</v>
      </c>
      <c r="AC323" s="324" t="s">
        <v>344</v>
      </c>
      <c r="AD323" s="324" t="s">
        <v>345</v>
      </c>
      <c r="AE323" s="324" t="s">
        <v>346</v>
      </c>
      <c r="AK323" s="325" t="s">
        <v>51</v>
      </c>
    </row>
    <row r="324" ht="16.5" customHeight="1" spans="1:26">
      <c r="A324" s="326"/>
      <c r="B324" s="327"/>
      <c r="C324" s="327"/>
      <c r="D324" s="330"/>
      <c r="E324" s="333" t="s">
        <v>257</v>
      </c>
      <c r="F324" s="330"/>
      <c r="G324" s="329"/>
      <c r="H324" s="329"/>
      <c r="I324" s="329"/>
      <c r="J324" s="329"/>
      <c r="K324" s="329"/>
      <c r="L324" s="329"/>
      <c r="M324" s="329"/>
      <c r="N324" s="329"/>
      <c r="O324" s="329"/>
      <c r="P324" s="337"/>
      <c r="Q324" s="337"/>
      <c r="R324" s="337"/>
      <c r="S324" s="337"/>
      <c r="T324" s="337"/>
      <c r="U324" s="337"/>
      <c r="V324" s="337"/>
      <c r="W324" s="337"/>
      <c r="X324" s="339"/>
      <c r="Y324" s="339"/>
      <c r="Z324" s="339"/>
    </row>
    <row r="325" ht="26.25" customHeight="1" spans="1:26">
      <c r="A325" s="326"/>
      <c r="B325" s="327"/>
      <c r="C325" s="327"/>
      <c r="D325" s="330"/>
      <c r="E325" s="332" t="s">
        <v>347</v>
      </c>
      <c r="F325" s="330"/>
      <c r="G325" s="329"/>
      <c r="H325" s="329"/>
      <c r="I325" s="329"/>
      <c r="J325" s="329"/>
      <c r="K325" s="329"/>
      <c r="L325" s="329"/>
      <c r="M325" s="329"/>
      <c r="N325" s="329">
        <v>0.1712</v>
      </c>
      <c r="O325" s="329"/>
      <c r="P325" s="337"/>
      <c r="Q325" s="337"/>
      <c r="R325" s="337"/>
      <c r="S325" s="337"/>
      <c r="T325" s="337"/>
      <c r="U325" s="337"/>
      <c r="V325" s="337"/>
      <c r="W325" s="337"/>
      <c r="X325" s="339"/>
      <c r="Y325" s="339"/>
      <c r="Z325" s="339"/>
    </row>
    <row r="326" ht="16.5" customHeight="1" spans="1:26">
      <c r="A326" s="326"/>
      <c r="B326" s="327"/>
      <c r="C326" s="327"/>
      <c r="D326" s="330"/>
      <c r="E326" s="332" t="s">
        <v>348</v>
      </c>
      <c r="F326" s="330"/>
      <c r="G326" s="329"/>
      <c r="H326" s="329"/>
      <c r="I326" s="329"/>
      <c r="J326" s="329"/>
      <c r="K326" s="329"/>
      <c r="L326" s="329"/>
      <c r="M326" s="329"/>
      <c r="N326" s="329">
        <v>0.0125</v>
      </c>
      <c r="O326" s="329"/>
      <c r="P326" s="337"/>
      <c r="Q326" s="337"/>
      <c r="R326" s="337"/>
      <c r="S326" s="337"/>
      <c r="T326" s="337"/>
      <c r="U326" s="337"/>
      <c r="V326" s="337"/>
      <c r="W326" s="337"/>
      <c r="X326" s="339"/>
      <c r="Y326" s="339"/>
      <c r="Z326" s="339"/>
    </row>
    <row r="327" ht="16.5" customHeight="1" spans="1:26">
      <c r="A327" s="326"/>
      <c r="B327" s="327"/>
      <c r="C327" s="327"/>
      <c r="D327" s="330"/>
      <c r="E327" s="332" t="s">
        <v>349</v>
      </c>
      <c r="F327" s="330"/>
      <c r="G327" s="329"/>
      <c r="H327" s="329"/>
      <c r="I327" s="329"/>
      <c r="J327" s="329"/>
      <c r="K327" s="329"/>
      <c r="L327" s="329"/>
      <c r="M327" s="329"/>
      <c r="N327" s="329">
        <v>0.0055</v>
      </c>
      <c r="O327" s="329"/>
      <c r="P327" s="337"/>
      <c r="Q327" s="337"/>
      <c r="R327" s="337"/>
      <c r="S327" s="337"/>
      <c r="T327" s="337"/>
      <c r="U327" s="337"/>
      <c r="V327" s="337"/>
      <c r="W327" s="337"/>
      <c r="X327" s="339"/>
      <c r="Y327" s="339"/>
      <c r="Z327" s="339"/>
    </row>
    <row r="328" ht="16.5" customHeight="1" spans="1:26">
      <c r="A328" s="326"/>
      <c r="B328" s="327"/>
      <c r="C328" s="327"/>
      <c r="D328" s="330"/>
      <c r="E328" s="332" t="s">
        <v>350</v>
      </c>
      <c r="F328" s="330"/>
      <c r="G328" s="329"/>
      <c r="H328" s="329"/>
      <c r="I328" s="329"/>
      <c r="J328" s="329"/>
      <c r="K328" s="329"/>
      <c r="L328" s="329"/>
      <c r="M328" s="329"/>
      <c r="N328" s="329">
        <v>0.0187</v>
      </c>
      <c r="O328" s="329"/>
      <c r="P328" s="337"/>
      <c r="Q328" s="337"/>
      <c r="R328" s="337"/>
      <c r="S328" s="337"/>
      <c r="T328" s="337"/>
      <c r="U328" s="337"/>
      <c r="V328" s="337"/>
      <c r="W328" s="337"/>
      <c r="X328" s="339"/>
      <c r="Y328" s="339"/>
      <c r="Z328" s="339"/>
    </row>
    <row r="329" ht="16.5" customHeight="1" spans="1:26">
      <c r="A329" s="326"/>
      <c r="B329" s="327"/>
      <c r="C329" s="327"/>
      <c r="D329" s="330"/>
      <c r="E329" s="332" t="s">
        <v>351</v>
      </c>
      <c r="F329" s="330"/>
      <c r="G329" s="329"/>
      <c r="H329" s="329"/>
      <c r="I329" s="329"/>
      <c r="J329" s="329"/>
      <c r="K329" s="329"/>
      <c r="L329" s="329"/>
      <c r="M329" s="329"/>
      <c r="N329" s="329">
        <v>0.0226</v>
      </c>
      <c r="O329" s="329"/>
      <c r="P329" s="337"/>
      <c r="Q329" s="337"/>
      <c r="R329" s="337"/>
      <c r="S329" s="337"/>
      <c r="T329" s="337"/>
      <c r="U329" s="337"/>
      <c r="V329" s="337"/>
      <c r="W329" s="337"/>
      <c r="X329" s="339"/>
      <c r="Y329" s="339"/>
      <c r="Z329" s="339"/>
    </row>
    <row r="330" ht="16.5" customHeight="1" spans="1:26">
      <c r="A330" s="326"/>
      <c r="B330" s="327"/>
      <c r="C330" s="327"/>
      <c r="D330" s="330"/>
      <c r="E330" s="332" t="s">
        <v>352</v>
      </c>
      <c r="F330" s="330"/>
      <c r="G330" s="329"/>
      <c r="H330" s="329"/>
      <c r="I330" s="329"/>
      <c r="J330" s="329"/>
      <c r="K330" s="329"/>
      <c r="L330" s="329"/>
      <c r="M330" s="329"/>
      <c r="N330" s="329">
        <v>0.1504</v>
      </c>
      <c r="O330" s="329"/>
      <c r="P330" s="337"/>
      <c r="Q330" s="337"/>
      <c r="R330" s="337"/>
      <c r="S330" s="337"/>
      <c r="T330" s="337"/>
      <c r="U330" s="337"/>
      <c r="V330" s="337"/>
      <c r="W330" s="337"/>
      <c r="X330" s="339"/>
      <c r="Y330" s="339"/>
      <c r="Z330" s="339"/>
    </row>
    <row r="331" ht="16.5" customHeight="1" spans="1:26">
      <c r="A331" s="326"/>
      <c r="B331" s="327"/>
      <c r="C331" s="327"/>
      <c r="D331" s="330"/>
      <c r="E331" s="332" t="s">
        <v>353</v>
      </c>
      <c r="F331" s="330"/>
      <c r="G331" s="329"/>
      <c r="H331" s="329"/>
      <c r="I331" s="329"/>
      <c r="J331" s="329"/>
      <c r="K331" s="329"/>
      <c r="L331" s="329"/>
      <c r="M331" s="329"/>
      <c r="N331" s="329">
        <v>0.0156</v>
      </c>
      <c r="O331" s="329"/>
      <c r="P331" s="337"/>
      <c r="Q331" s="337"/>
      <c r="R331" s="337"/>
      <c r="S331" s="337"/>
      <c r="T331" s="337"/>
      <c r="U331" s="337"/>
      <c r="V331" s="337"/>
      <c r="W331" s="337"/>
      <c r="X331" s="339"/>
      <c r="Y331" s="339"/>
      <c r="Z331" s="339"/>
    </row>
    <row r="332" ht="16.5" customHeight="1" spans="1:26">
      <c r="A332" s="326"/>
      <c r="B332" s="327"/>
      <c r="C332" s="327"/>
      <c r="D332" s="330"/>
      <c r="E332" s="332" t="s">
        <v>354</v>
      </c>
      <c r="F332" s="330"/>
      <c r="G332" s="329"/>
      <c r="H332" s="329"/>
      <c r="I332" s="329"/>
      <c r="J332" s="329"/>
      <c r="K332" s="329"/>
      <c r="L332" s="329"/>
      <c r="M332" s="329"/>
      <c r="N332" s="329">
        <v>0.0278</v>
      </c>
      <c r="O332" s="329"/>
      <c r="P332" s="337"/>
      <c r="Q332" s="337"/>
      <c r="R332" s="337"/>
      <c r="S332" s="337"/>
      <c r="T332" s="337"/>
      <c r="U332" s="337"/>
      <c r="V332" s="337"/>
      <c r="W332" s="337"/>
      <c r="X332" s="339"/>
      <c r="Y332" s="339"/>
      <c r="Z332" s="339"/>
    </row>
    <row r="333" ht="16.5" customHeight="1" spans="1:26">
      <c r="A333" s="326"/>
      <c r="B333" s="327"/>
      <c r="C333" s="327"/>
      <c r="D333" s="330"/>
      <c r="E333" s="333" t="s">
        <v>266</v>
      </c>
      <c r="F333" s="330"/>
      <c r="G333" s="329"/>
      <c r="H333" s="329"/>
      <c r="I333" s="329"/>
      <c r="J333" s="329"/>
      <c r="K333" s="329"/>
      <c r="L333" s="329"/>
      <c r="M333" s="329"/>
      <c r="N333" s="329"/>
      <c r="O333" s="329"/>
      <c r="P333" s="337"/>
      <c r="Q333" s="337"/>
      <c r="R333" s="337"/>
      <c r="S333" s="337"/>
      <c r="T333" s="337"/>
      <c r="U333" s="337"/>
      <c r="V333" s="337"/>
      <c r="W333" s="337"/>
      <c r="X333" s="339"/>
      <c r="Y333" s="339"/>
      <c r="Z333" s="339"/>
    </row>
    <row r="334" ht="26.25" customHeight="1" spans="1:26">
      <c r="A334" s="326"/>
      <c r="B334" s="327"/>
      <c r="C334" s="327"/>
      <c r="D334" s="330"/>
      <c r="E334" s="332" t="s">
        <v>355</v>
      </c>
      <c r="F334" s="330"/>
      <c r="G334" s="329"/>
      <c r="H334" s="329"/>
      <c r="I334" s="329"/>
      <c r="J334" s="329"/>
      <c r="K334" s="329"/>
      <c r="L334" s="329"/>
      <c r="M334" s="329"/>
      <c r="N334" s="329">
        <v>0.3424</v>
      </c>
      <c r="O334" s="329"/>
      <c r="P334" s="337"/>
      <c r="Q334" s="337"/>
      <c r="R334" s="337"/>
      <c r="S334" s="337"/>
      <c r="T334" s="337"/>
      <c r="U334" s="337"/>
      <c r="V334" s="337"/>
      <c r="W334" s="337"/>
      <c r="X334" s="339"/>
      <c r="Y334" s="339"/>
      <c r="Z334" s="339"/>
    </row>
    <row r="335" ht="16.5" customHeight="1" spans="1:26">
      <c r="A335" s="326"/>
      <c r="B335" s="327"/>
      <c r="C335" s="327"/>
      <c r="D335" s="330"/>
      <c r="E335" s="332" t="s">
        <v>356</v>
      </c>
      <c r="F335" s="330"/>
      <c r="G335" s="329"/>
      <c r="H335" s="329"/>
      <c r="I335" s="329"/>
      <c r="J335" s="329"/>
      <c r="K335" s="329"/>
      <c r="L335" s="329"/>
      <c r="M335" s="329"/>
      <c r="N335" s="329">
        <v>0.025</v>
      </c>
      <c r="O335" s="329"/>
      <c r="P335" s="337"/>
      <c r="Q335" s="337"/>
      <c r="R335" s="337"/>
      <c r="S335" s="337"/>
      <c r="T335" s="337"/>
      <c r="U335" s="337"/>
      <c r="V335" s="337"/>
      <c r="W335" s="337"/>
      <c r="X335" s="339"/>
      <c r="Y335" s="339"/>
      <c r="Z335" s="339"/>
    </row>
    <row r="336" ht="16.5" customHeight="1" spans="1:26">
      <c r="A336" s="326"/>
      <c r="B336" s="327"/>
      <c r="C336" s="327"/>
      <c r="D336" s="330"/>
      <c r="E336" s="332" t="s">
        <v>357</v>
      </c>
      <c r="F336" s="330"/>
      <c r="G336" s="329"/>
      <c r="H336" s="329"/>
      <c r="I336" s="329"/>
      <c r="J336" s="329"/>
      <c r="K336" s="329"/>
      <c r="L336" s="329"/>
      <c r="M336" s="329"/>
      <c r="N336" s="329">
        <v>0.011</v>
      </c>
      <c r="O336" s="329"/>
      <c r="P336" s="337"/>
      <c r="Q336" s="337"/>
      <c r="R336" s="337"/>
      <c r="S336" s="337"/>
      <c r="T336" s="337"/>
      <c r="U336" s="337"/>
      <c r="V336" s="337"/>
      <c r="W336" s="337"/>
      <c r="X336" s="339"/>
      <c r="Y336" s="339"/>
      <c r="Z336" s="339"/>
    </row>
    <row r="337" ht="16.5" customHeight="1" spans="1:26">
      <c r="A337" s="326"/>
      <c r="B337" s="327"/>
      <c r="C337" s="327"/>
      <c r="D337" s="330"/>
      <c r="E337" s="332" t="s">
        <v>358</v>
      </c>
      <c r="F337" s="330"/>
      <c r="G337" s="329"/>
      <c r="H337" s="329"/>
      <c r="I337" s="329"/>
      <c r="J337" s="329"/>
      <c r="K337" s="329"/>
      <c r="L337" s="329"/>
      <c r="M337" s="329"/>
      <c r="N337" s="329">
        <v>0.0374</v>
      </c>
      <c r="O337" s="329"/>
      <c r="P337" s="337"/>
      <c r="Q337" s="337"/>
      <c r="R337" s="337"/>
      <c r="S337" s="337"/>
      <c r="T337" s="337"/>
      <c r="U337" s="337"/>
      <c r="V337" s="337"/>
      <c r="W337" s="337"/>
      <c r="X337" s="339"/>
      <c r="Y337" s="339"/>
      <c r="Z337" s="339"/>
    </row>
    <row r="338" ht="16.5" customHeight="1" spans="1:26">
      <c r="A338" s="326"/>
      <c r="B338" s="327"/>
      <c r="C338" s="327"/>
      <c r="D338" s="330"/>
      <c r="E338" s="332" t="s">
        <v>359</v>
      </c>
      <c r="F338" s="330"/>
      <c r="G338" s="329"/>
      <c r="H338" s="329"/>
      <c r="I338" s="329"/>
      <c r="J338" s="329"/>
      <c r="K338" s="329"/>
      <c r="L338" s="329"/>
      <c r="M338" s="329"/>
      <c r="N338" s="329">
        <v>0.0328</v>
      </c>
      <c r="O338" s="329"/>
      <c r="P338" s="337"/>
      <c r="Q338" s="337"/>
      <c r="R338" s="337"/>
      <c r="S338" s="337"/>
      <c r="T338" s="337"/>
      <c r="U338" s="337"/>
      <c r="V338" s="337"/>
      <c r="W338" s="337"/>
      <c r="X338" s="339"/>
      <c r="Y338" s="339"/>
      <c r="Z338" s="339"/>
    </row>
    <row r="339" ht="16.5" customHeight="1" spans="1:26">
      <c r="A339" s="326"/>
      <c r="B339" s="327"/>
      <c r="C339" s="327"/>
      <c r="D339" s="330"/>
      <c r="E339" s="332" t="s">
        <v>360</v>
      </c>
      <c r="F339" s="330"/>
      <c r="G339" s="329"/>
      <c r="H339" s="329"/>
      <c r="I339" s="329"/>
      <c r="J339" s="329"/>
      <c r="K339" s="329"/>
      <c r="L339" s="329"/>
      <c r="M339" s="329"/>
      <c r="N339" s="329">
        <v>0.2256</v>
      </c>
      <c r="O339" s="329"/>
      <c r="P339" s="337"/>
      <c r="Q339" s="337"/>
      <c r="R339" s="337"/>
      <c r="S339" s="337"/>
      <c r="T339" s="337"/>
      <c r="U339" s="337"/>
      <c r="V339" s="337"/>
      <c r="W339" s="337"/>
      <c r="X339" s="339"/>
      <c r="Y339" s="339"/>
      <c r="Z339" s="339"/>
    </row>
    <row r="340" ht="16.5" customHeight="1" spans="1:26">
      <c r="A340" s="326"/>
      <c r="B340" s="327"/>
      <c r="C340" s="327"/>
      <c r="D340" s="330"/>
      <c r="E340" s="332" t="s">
        <v>361</v>
      </c>
      <c r="F340" s="330"/>
      <c r="G340" s="329"/>
      <c r="H340" s="329"/>
      <c r="I340" s="329"/>
      <c r="J340" s="329"/>
      <c r="K340" s="329"/>
      <c r="L340" s="329"/>
      <c r="M340" s="329"/>
      <c r="N340" s="329">
        <v>0.0668</v>
      </c>
      <c r="O340" s="329"/>
      <c r="P340" s="337"/>
      <c r="Q340" s="337"/>
      <c r="R340" s="337"/>
      <c r="S340" s="337"/>
      <c r="T340" s="337"/>
      <c r="U340" s="337"/>
      <c r="V340" s="337"/>
      <c r="W340" s="337"/>
      <c r="X340" s="339"/>
      <c r="Y340" s="339"/>
      <c r="Z340" s="339"/>
    </row>
    <row r="341" ht="16.5" customHeight="1" spans="1:26">
      <c r="A341" s="326"/>
      <c r="B341" s="327"/>
      <c r="C341" s="327"/>
      <c r="D341" s="330"/>
      <c r="E341" s="332" t="s">
        <v>362</v>
      </c>
      <c r="F341" s="330"/>
      <c r="G341" s="329"/>
      <c r="H341" s="329"/>
      <c r="I341" s="329"/>
      <c r="J341" s="329"/>
      <c r="K341" s="329"/>
      <c r="L341" s="329"/>
      <c r="M341" s="329"/>
      <c r="N341" s="329">
        <v>0.0106</v>
      </c>
      <c r="O341" s="329"/>
      <c r="P341" s="337"/>
      <c r="Q341" s="337"/>
      <c r="R341" s="337"/>
      <c r="S341" s="337"/>
      <c r="T341" s="337"/>
      <c r="U341" s="337"/>
      <c r="V341" s="337"/>
      <c r="W341" s="337"/>
      <c r="X341" s="339"/>
      <c r="Y341" s="339"/>
      <c r="Z341" s="339"/>
    </row>
    <row r="342" ht="16.5" customHeight="1" spans="1:26">
      <c r="A342" s="326"/>
      <c r="B342" s="327"/>
      <c r="C342" s="327"/>
      <c r="D342" s="330"/>
      <c r="E342" s="332" t="s">
        <v>363</v>
      </c>
      <c r="F342" s="330"/>
      <c r="G342" s="329"/>
      <c r="H342" s="329"/>
      <c r="I342" s="329"/>
      <c r="J342" s="329"/>
      <c r="K342" s="329"/>
      <c r="L342" s="329"/>
      <c r="M342" s="329"/>
      <c r="N342" s="329">
        <v>0.0214</v>
      </c>
      <c r="O342" s="329"/>
      <c r="P342" s="337"/>
      <c r="Q342" s="337"/>
      <c r="R342" s="337"/>
      <c r="S342" s="337"/>
      <c r="T342" s="337"/>
      <c r="U342" s="337"/>
      <c r="V342" s="337"/>
      <c r="W342" s="337"/>
      <c r="X342" s="339"/>
      <c r="Y342" s="339"/>
      <c r="Z342" s="339"/>
    </row>
    <row r="343" ht="16.5" customHeight="1" spans="1:26">
      <c r="A343" s="326"/>
      <c r="B343" s="327"/>
      <c r="C343" s="327"/>
      <c r="D343" s="330"/>
      <c r="E343" s="332" t="s">
        <v>364</v>
      </c>
      <c r="F343" s="330"/>
      <c r="G343" s="329"/>
      <c r="H343" s="329"/>
      <c r="I343" s="329"/>
      <c r="J343" s="329"/>
      <c r="K343" s="329"/>
      <c r="L343" s="329"/>
      <c r="M343" s="329"/>
      <c r="N343" s="329">
        <v>0.0272</v>
      </c>
      <c r="O343" s="329"/>
      <c r="P343" s="337"/>
      <c r="Q343" s="337"/>
      <c r="R343" s="337"/>
      <c r="S343" s="337"/>
      <c r="T343" s="337"/>
      <c r="U343" s="337"/>
      <c r="V343" s="337"/>
      <c r="W343" s="337"/>
      <c r="X343" s="339"/>
      <c r="Y343" s="339"/>
      <c r="Z343" s="339"/>
    </row>
    <row r="344" ht="16.5" customHeight="1" spans="1:26">
      <c r="A344" s="326"/>
      <c r="B344" s="327"/>
      <c r="C344" s="327"/>
      <c r="D344" s="330"/>
      <c r="E344" s="333" t="s">
        <v>277</v>
      </c>
      <c r="F344" s="330"/>
      <c r="G344" s="329"/>
      <c r="H344" s="329"/>
      <c r="I344" s="329"/>
      <c r="J344" s="329"/>
      <c r="K344" s="329"/>
      <c r="L344" s="329"/>
      <c r="M344" s="329"/>
      <c r="N344" s="329"/>
      <c r="O344" s="329"/>
      <c r="P344" s="337"/>
      <c r="Q344" s="337"/>
      <c r="R344" s="337"/>
      <c r="S344" s="337"/>
      <c r="T344" s="337"/>
      <c r="U344" s="337"/>
      <c r="V344" s="337"/>
      <c r="W344" s="337"/>
      <c r="X344" s="339"/>
      <c r="Y344" s="339"/>
      <c r="Z344" s="339"/>
    </row>
    <row r="345" ht="26.25" customHeight="1" spans="1:26">
      <c r="A345" s="326"/>
      <c r="B345" s="327"/>
      <c r="C345" s="327"/>
      <c r="D345" s="330"/>
      <c r="E345" s="332" t="s">
        <v>365</v>
      </c>
      <c r="F345" s="330"/>
      <c r="G345" s="329"/>
      <c r="H345" s="329"/>
      <c r="I345" s="329"/>
      <c r="J345" s="329"/>
      <c r="K345" s="329"/>
      <c r="L345" s="329"/>
      <c r="M345" s="329"/>
      <c r="N345" s="329">
        <v>0.1712</v>
      </c>
      <c r="O345" s="329"/>
      <c r="P345" s="337"/>
      <c r="Q345" s="337"/>
      <c r="R345" s="337"/>
      <c r="S345" s="337"/>
      <c r="T345" s="337"/>
      <c r="U345" s="337"/>
      <c r="V345" s="337"/>
      <c r="W345" s="337"/>
      <c r="X345" s="339"/>
      <c r="Y345" s="339"/>
      <c r="Z345" s="339"/>
    </row>
    <row r="346" ht="16.5" customHeight="1" spans="1:26">
      <c r="A346" s="326"/>
      <c r="B346" s="327"/>
      <c r="C346" s="327"/>
      <c r="D346" s="330"/>
      <c r="E346" s="332" t="s">
        <v>366</v>
      </c>
      <c r="F346" s="330"/>
      <c r="G346" s="329"/>
      <c r="H346" s="329"/>
      <c r="I346" s="329"/>
      <c r="J346" s="329"/>
      <c r="K346" s="329"/>
      <c r="L346" s="329"/>
      <c r="M346" s="329"/>
      <c r="N346" s="329">
        <v>0.019</v>
      </c>
      <c r="O346" s="329"/>
      <c r="P346" s="337"/>
      <c r="Q346" s="337"/>
      <c r="R346" s="337"/>
      <c r="S346" s="337"/>
      <c r="T346" s="337"/>
      <c r="U346" s="337"/>
      <c r="V346" s="337"/>
      <c r="W346" s="337"/>
      <c r="X346" s="339"/>
      <c r="Y346" s="339"/>
      <c r="Z346" s="339"/>
    </row>
    <row r="347" ht="16.5" customHeight="1" spans="1:26">
      <c r="A347" s="326"/>
      <c r="B347" s="327"/>
      <c r="C347" s="327"/>
      <c r="D347" s="330"/>
      <c r="E347" s="332" t="s">
        <v>367</v>
      </c>
      <c r="F347" s="330"/>
      <c r="G347" s="329"/>
      <c r="H347" s="329"/>
      <c r="I347" s="329"/>
      <c r="J347" s="329"/>
      <c r="K347" s="329"/>
      <c r="L347" s="329"/>
      <c r="M347" s="329"/>
      <c r="N347" s="329">
        <v>0.0187</v>
      </c>
      <c r="O347" s="329"/>
      <c r="P347" s="337"/>
      <c r="Q347" s="337"/>
      <c r="R347" s="337"/>
      <c r="S347" s="337"/>
      <c r="T347" s="337"/>
      <c r="U347" s="337"/>
      <c r="V347" s="337"/>
      <c r="W347" s="337"/>
      <c r="X347" s="339"/>
      <c r="Y347" s="339"/>
      <c r="Z347" s="339"/>
    </row>
    <row r="348" ht="16.5" customHeight="1" spans="1:26">
      <c r="A348" s="326"/>
      <c r="B348" s="327"/>
      <c r="C348" s="327"/>
      <c r="D348" s="330"/>
      <c r="E348" s="332" t="s">
        <v>368</v>
      </c>
      <c r="F348" s="330"/>
      <c r="G348" s="329"/>
      <c r="H348" s="329"/>
      <c r="I348" s="329"/>
      <c r="J348" s="329"/>
      <c r="K348" s="329"/>
      <c r="L348" s="329"/>
      <c r="M348" s="329"/>
      <c r="N348" s="329">
        <v>0.0148</v>
      </c>
      <c r="O348" s="329"/>
      <c r="P348" s="337"/>
      <c r="Q348" s="337"/>
      <c r="R348" s="337"/>
      <c r="S348" s="337"/>
      <c r="T348" s="337"/>
      <c r="U348" s="337"/>
      <c r="V348" s="337"/>
      <c r="W348" s="337"/>
      <c r="X348" s="339"/>
      <c r="Y348" s="339"/>
      <c r="Z348" s="339"/>
    </row>
    <row r="349" ht="16.5" customHeight="1" spans="1:26">
      <c r="A349" s="326"/>
      <c r="B349" s="327"/>
      <c r="C349" s="327"/>
      <c r="D349" s="330"/>
      <c r="E349" s="332" t="s">
        <v>369</v>
      </c>
      <c r="F349" s="330"/>
      <c r="G349" s="329"/>
      <c r="H349" s="329"/>
      <c r="I349" s="329"/>
      <c r="J349" s="329"/>
      <c r="K349" s="329"/>
      <c r="L349" s="329"/>
      <c r="M349" s="329"/>
      <c r="N349" s="329">
        <v>0.1128</v>
      </c>
      <c r="O349" s="329"/>
      <c r="P349" s="337"/>
      <c r="Q349" s="337"/>
      <c r="R349" s="337"/>
      <c r="S349" s="337"/>
      <c r="T349" s="337"/>
      <c r="U349" s="337"/>
      <c r="V349" s="337"/>
      <c r="W349" s="337"/>
      <c r="X349" s="339"/>
      <c r="Y349" s="339"/>
      <c r="Z349" s="339"/>
    </row>
    <row r="350" ht="16.5" customHeight="1" spans="1:26">
      <c r="A350" s="326"/>
      <c r="B350" s="327"/>
      <c r="C350" s="327"/>
      <c r="D350" s="330"/>
      <c r="E350" s="332" t="s">
        <v>370</v>
      </c>
      <c r="F350" s="330"/>
      <c r="G350" s="329"/>
      <c r="H350" s="329"/>
      <c r="I350" s="329"/>
      <c r="J350" s="329"/>
      <c r="K350" s="329"/>
      <c r="L350" s="329"/>
      <c r="M350" s="329"/>
      <c r="N350" s="329">
        <v>0.0334</v>
      </c>
      <c r="O350" s="329"/>
      <c r="P350" s="337"/>
      <c r="Q350" s="337"/>
      <c r="R350" s="337"/>
      <c r="S350" s="337"/>
      <c r="T350" s="337"/>
      <c r="U350" s="337"/>
      <c r="V350" s="337"/>
      <c r="W350" s="337"/>
      <c r="X350" s="339"/>
      <c r="Y350" s="339"/>
      <c r="Z350" s="339"/>
    </row>
    <row r="351" ht="16.5" customHeight="1" spans="1:26">
      <c r="A351" s="326"/>
      <c r="B351" s="327"/>
      <c r="C351" s="327"/>
      <c r="D351" s="330"/>
      <c r="E351" s="333" t="s">
        <v>284</v>
      </c>
      <c r="F351" s="330"/>
      <c r="G351" s="329"/>
      <c r="H351" s="329"/>
      <c r="I351" s="329"/>
      <c r="J351" s="329"/>
      <c r="K351" s="329"/>
      <c r="L351" s="329"/>
      <c r="M351" s="329"/>
      <c r="N351" s="329"/>
      <c r="O351" s="329"/>
      <c r="P351" s="337"/>
      <c r="Q351" s="337"/>
      <c r="R351" s="337"/>
      <c r="S351" s="337"/>
      <c r="T351" s="337"/>
      <c r="U351" s="337"/>
      <c r="V351" s="337"/>
      <c r="W351" s="337"/>
      <c r="X351" s="339"/>
      <c r="Y351" s="339"/>
      <c r="Z351" s="339"/>
    </row>
    <row r="352" ht="16.5" customHeight="1" spans="1:26">
      <c r="A352" s="326"/>
      <c r="B352" s="327"/>
      <c r="C352" s="327"/>
      <c r="D352" s="330"/>
      <c r="E352" s="332" t="s">
        <v>371</v>
      </c>
      <c r="F352" s="330"/>
      <c r="G352" s="329"/>
      <c r="H352" s="329"/>
      <c r="I352" s="329"/>
      <c r="J352" s="329"/>
      <c r="K352" s="329"/>
      <c r="L352" s="329"/>
      <c r="M352" s="329"/>
      <c r="N352" s="329">
        <v>0.1416</v>
      </c>
      <c r="O352" s="329"/>
      <c r="P352" s="337"/>
      <c r="Q352" s="337"/>
      <c r="R352" s="337"/>
      <c r="S352" s="337"/>
      <c r="T352" s="337"/>
      <c r="U352" s="337"/>
      <c r="V352" s="337"/>
      <c r="W352" s="337"/>
      <c r="X352" s="339"/>
      <c r="Y352" s="339"/>
      <c r="Z352" s="339"/>
    </row>
    <row r="353" ht="16.5" customHeight="1" spans="1:26">
      <c r="A353" s="326"/>
      <c r="B353" s="327"/>
      <c r="C353" s="327"/>
      <c r="D353" s="330"/>
      <c r="E353" s="332" t="s">
        <v>372</v>
      </c>
      <c r="F353" s="330"/>
      <c r="G353" s="329"/>
      <c r="H353" s="329"/>
      <c r="I353" s="329"/>
      <c r="J353" s="329"/>
      <c r="K353" s="329"/>
      <c r="L353" s="329"/>
      <c r="M353" s="329"/>
      <c r="N353" s="329">
        <v>0.1344</v>
      </c>
      <c r="O353" s="329"/>
      <c r="P353" s="337"/>
      <c r="Q353" s="337"/>
      <c r="R353" s="337"/>
      <c r="S353" s="337"/>
      <c r="T353" s="337"/>
      <c r="U353" s="337"/>
      <c r="V353" s="337"/>
      <c r="W353" s="337"/>
      <c r="X353" s="339"/>
      <c r="Y353" s="339"/>
      <c r="Z353" s="339"/>
    </row>
    <row r="354" ht="37.5" customHeight="1" spans="1:37">
      <c r="A354" s="326">
        <v>12</v>
      </c>
      <c r="B354" s="327" t="s">
        <v>373</v>
      </c>
      <c r="C354" s="327"/>
      <c r="D354" s="330" t="s">
        <v>373</v>
      </c>
      <c r="E354" s="331" t="s">
        <v>374</v>
      </c>
      <c r="F354" s="330" t="s">
        <v>114</v>
      </c>
      <c r="G354" s="329"/>
      <c r="H354" s="329"/>
      <c r="I354" s="329"/>
      <c r="J354" s="329"/>
      <c r="K354" s="329"/>
      <c r="L354" s="329"/>
      <c r="M354" s="329"/>
      <c r="N354" s="329"/>
      <c r="O354" s="329"/>
      <c r="P354" s="337">
        <v>16416024</v>
      </c>
      <c r="Q354" s="337"/>
      <c r="R354" s="337">
        <v>2186882</v>
      </c>
      <c r="S354" s="337">
        <v>585442</v>
      </c>
      <c r="T354" s="337">
        <f>ROUND(ROUND(O354,4)*P354,0)</f>
        <v>0</v>
      </c>
      <c r="U354" s="337">
        <f>ROUND(ROUND(O354,4)*Q354,0)</f>
        <v>0</v>
      </c>
      <c r="V354" s="337">
        <f>ROUND(ROUND(O354,4)*R354,0)</f>
        <v>0</v>
      </c>
      <c r="W354" s="337">
        <f>ROUND(ROUND(O354,4)*S354,0)</f>
        <v>0</v>
      </c>
      <c r="X354" s="339"/>
      <c r="Y354" s="339"/>
      <c r="Z354" s="339"/>
      <c r="AA354" s="325" t="s">
        <v>47</v>
      </c>
      <c r="AB354" s="325" t="s">
        <v>48</v>
      </c>
      <c r="AC354" s="324" t="s">
        <v>375</v>
      </c>
      <c r="AD354" s="324" t="s">
        <v>376</v>
      </c>
      <c r="AE354" s="324" t="s">
        <v>377</v>
      </c>
      <c r="AK354" s="325" t="s">
        <v>51</v>
      </c>
    </row>
    <row r="355" ht="37.5" customHeight="1" spans="1:37">
      <c r="A355" s="326">
        <v>13</v>
      </c>
      <c r="B355" s="327" t="s">
        <v>378</v>
      </c>
      <c r="C355" s="327"/>
      <c r="D355" s="330" t="s">
        <v>378</v>
      </c>
      <c r="E355" s="331" t="s">
        <v>379</v>
      </c>
      <c r="F355" s="330" t="s">
        <v>114</v>
      </c>
      <c r="G355" s="329"/>
      <c r="H355" s="329"/>
      <c r="I355" s="329"/>
      <c r="J355" s="329"/>
      <c r="K355" s="329"/>
      <c r="L355" s="329"/>
      <c r="M355" s="329"/>
      <c r="N355" s="329"/>
      <c r="O355" s="329">
        <f>ROUND(SUM(N355:N363),4)</f>
        <v>2.4207</v>
      </c>
      <c r="P355" s="337">
        <v>16497030</v>
      </c>
      <c r="Q355" s="337"/>
      <c r="R355" s="337">
        <v>3486020</v>
      </c>
      <c r="S355" s="337">
        <v>190564</v>
      </c>
      <c r="T355" s="337">
        <f>ROUND(ROUND(O355,4)*P355,0)</f>
        <v>39934361</v>
      </c>
      <c r="U355" s="337">
        <f>ROUND(ROUND(O355,4)*Q355,0)</f>
        <v>0</v>
      </c>
      <c r="V355" s="337">
        <f>ROUND(ROUND(O355,4)*R355,0)</f>
        <v>8438609</v>
      </c>
      <c r="W355" s="337">
        <f>ROUND(ROUND(O355,4)*S355,0)</f>
        <v>461298</v>
      </c>
      <c r="X355" s="339"/>
      <c r="Y355" s="339"/>
      <c r="Z355" s="339"/>
      <c r="AA355" s="325" t="s">
        <v>47</v>
      </c>
      <c r="AB355" s="325" t="s">
        <v>48</v>
      </c>
      <c r="AC355" s="324" t="s">
        <v>134</v>
      </c>
      <c r="AD355" s="324" t="s">
        <v>380</v>
      </c>
      <c r="AE355" s="324" t="s">
        <v>381</v>
      </c>
      <c r="AK355" s="325" t="s">
        <v>51</v>
      </c>
    </row>
    <row r="356" ht="16.5" customHeight="1" spans="1:26">
      <c r="A356" s="326"/>
      <c r="B356" s="327"/>
      <c r="C356" s="327"/>
      <c r="D356" s="330"/>
      <c r="E356" s="333" t="s">
        <v>382</v>
      </c>
      <c r="F356" s="330"/>
      <c r="G356" s="329"/>
      <c r="H356" s="329"/>
      <c r="I356" s="329"/>
      <c r="J356" s="329"/>
      <c r="K356" s="329"/>
      <c r="L356" s="329"/>
      <c r="M356" s="329"/>
      <c r="N356" s="329"/>
      <c r="O356" s="329"/>
      <c r="P356" s="337"/>
      <c r="Q356" s="337"/>
      <c r="R356" s="337"/>
      <c r="S356" s="337"/>
      <c r="T356" s="337"/>
      <c r="U356" s="337"/>
      <c r="V356" s="337"/>
      <c r="W356" s="337"/>
      <c r="X356" s="339"/>
      <c r="Y356" s="339"/>
      <c r="Z356" s="339"/>
    </row>
    <row r="357" ht="26.25" customHeight="1" spans="1:26">
      <c r="A357" s="326"/>
      <c r="B357" s="327"/>
      <c r="C357" s="327"/>
      <c r="D357" s="330"/>
      <c r="E357" s="332" t="s">
        <v>383</v>
      </c>
      <c r="F357" s="330"/>
      <c r="G357" s="329"/>
      <c r="H357" s="329"/>
      <c r="I357" s="329"/>
      <c r="J357" s="329"/>
      <c r="K357" s="329"/>
      <c r="L357" s="329"/>
      <c r="M357" s="329"/>
      <c r="N357" s="329">
        <v>0.4988</v>
      </c>
      <c r="O357" s="329"/>
      <c r="P357" s="337"/>
      <c r="Q357" s="337"/>
      <c r="R357" s="337"/>
      <c r="S357" s="337"/>
      <c r="T357" s="337"/>
      <c r="U357" s="337"/>
      <c r="V357" s="337"/>
      <c r="W357" s="337"/>
      <c r="X357" s="339"/>
      <c r="Y357" s="339"/>
      <c r="Z357" s="339"/>
    </row>
    <row r="358" ht="16.5" customHeight="1" spans="1:26">
      <c r="A358" s="326"/>
      <c r="B358" s="327"/>
      <c r="C358" s="327"/>
      <c r="D358" s="330"/>
      <c r="E358" s="333" t="s">
        <v>384</v>
      </c>
      <c r="F358" s="330"/>
      <c r="G358" s="329"/>
      <c r="H358" s="329"/>
      <c r="I358" s="329"/>
      <c r="J358" s="329"/>
      <c r="K358" s="329"/>
      <c r="L358" s="329"/>
      <c r="M358" s="329"/>
      <c r="N358" s="329"/>
      <c r="O358" s="329"/>
      <c r="P358" s="337"/>
      <c r="Q358" s="337"/>
      <c r="R358" s="337"/>
      <c r="S358" s="337"/>
      <c r="T358" s="337"/>
      <c r="U358" s="337"/>
      <c r="V358" s="337"/>
      <c r="W358" s="337"/>
      <c r="X358" s="339"/>
      <c r="Y358" s="339"/>
      <c r="Z358" s="339"/>
    </row>
    <row r="359" ht="26.25" customHeight="1" spans="1:26">
      <c r="A359" s="326"/>
      <c r="B359" s="327"/>
      <c r="C359" s="327"/>
      <c r="D359" s="330"/>
      <c r="E359" s="332" t="s">
        <v>385</v>
      </c>
      <c r="F359" s="330"/>
      <c r="G359" s="329"/>
      <c r="H359" s="329"/>
      <c r="I359" s="329"/>
      <c r="J359" s="329"/>
      <c r="K359" s="329"/>
      <c r="L359" s="329"/>
      <c r="M359" s="329"/>
      <c r="N359" s="329">
        <v>0.992</v>
      </c>
      <c r="O359" s="329"/>
      <c r="P359" s="337"/>
      <c r="Q359" s="337"/>
      <c r="R359" s="337"/>
      <c r="S359" s="337"/>
      <c r="T359" s="337"/>
      <c r="U359" s="337"/>
      <c r="V359" s="337"/>
      <c r="W359" s="337"/>
      <c r="X359" s="339"/>
      <c r="Y359" s="339"/>
      <c r="Z359" s="339"/>
    </row>
    <row r="360" ht="16.5" customHeight="1" spans="1:26">
      <c r="A360" s="326"/>
      <c r="B360" s="327"/>
      <c r="C360" s="327"/>
      <c r="D360" s="330"/>
      <c r="E360" s="333" t="s">
        <v>300</v>
      </c>
      <c r="F360" s="330"/>
      <c r="G360" s="329"/>
      <c r="H360" s="329"/>
      <c r="I360" s="329"/>
      <c r="J360" s="329"/>
      <c r="K360" s="329"/>
      <c r="L360" s="329"/>
      <c r="M360" s="329"/>
      <c r="N360" s="329"/>
      <c r="O360" s="329"/>
      <c r="P360" s="337"/>
      <c r="Q360" s="337"/>
      <c r="R360" s="337"/>
      <c r="S360" s="337"/>
      <c r="T360" s="337"/>
      <c r="U360" s="337"/>
      <c r="V360" s="337"/>
      <c r="W360" s="337"/>
      <c r="X360" s="339"/>
      <c r="Y360" s="339"/>
      <c r="Z360" s="339"/>
    </row>
    <row r="361" ht="26.25" customHeight="1" spans="1:26">
      <c r="A361" s="326"/>
      <c r="B361" s="327"/>
      <c r="C361" s="327"/>
      <c r="D361" s="330"/>
      <c r="E361" s="332" t="s">
        <v>386</v>
      </c>
      <c r="F361" s="330"/>
      <c r="G361" s="329"/>
      <c r="H361" s="329"/>
      <c r="I361" s="329"/>
      <c r="J361" s="329"/>
      <c r="K361" s="329"/>
      <c r="L361" s="329"/>
      <c r="M361" s="329"/>
      <c r="N361" s="329">
        <v>0.5098</v>
      </c>
      <c r="O361" s="329"/>
      <c r="P361" s="337"/>
      <c r="Q361" s="337"/>
      <c r="R361" s="337"/>
      <c r="S361" s="337"/>
      <c r="T361" s="337"/>
      <c r="U361" s="337"/>
      <c r="V361" s="337"/>
      <c r="W361" s="337"/>
      <c r="X361" s="339"/>
      <c r="Y361" s="339"/>
      <c r="Z361" s="339"/>
    </row>
    <row r="362" ht="16.5" customHeight="1" spans="1:26">
      <c r="A362" s="326"/>
      <c r="B362" s="327"/>
      <c r="C362" s="327"/>
      <c r="D362" s="330"/>
      <c r="E362" s="333" t="s">
        <v>301</v>
      </c>
      <c r="F362" s="330"/>
      <c r="G362" s="329"/>
      <c r="H362" s="329"/>
      <c r="I362" s="329"/>
      <c r="J362" s="329"/>
      <c r="K362" s="329"/>
      <c r="L362" s="329"/>
      <c r="M362" s="329"/>
      <c r="N362" s="329"/>
      <c r="O362" s="329"/>
      <c r="P362" s="337"/>
      <c r="Q362" s="337"/>
      <c r="R362" s="337"/>
      <c r="S362" s="337"/>
      <c r="T362" s="337"/>
      <c r="U362" s="337"/>
      <c r="V362" s="337"/>
      <c r="W362" s="337"/>
      <c r="X362" s="339"/>
      <c r="Y362" s="339"/>
      <c r="Z362" s="339"/>
    </row>
    <row r="363" ht="26.25" customHeight="1" spans="1:26">
      <c r="A363" s="326"/>
      <c r="B363" s="327"/>
      <c r="C363" s="327"/>
      <c r="D363" s="330"/>
      <c r="E363" s="332" t="s">
        <v>387</v>
      </c>
      <c r="F363" s="330"/>
      <c r="G363" s="329"/>
      <c r="H363" s="329"/>
      <c r="I363" s="329"/>
      <c r="J363" s="329"/>
      <c r="K363" s="329"/>
      <c r="L363" s="329"/>
      <c r="M363" s="329"/>
      <c r="N363" s="329">
        <v>0.4201</v>
      </c>
      <c r="O363" s="329"/>
      <c r="P363" s="337"/>
      <c r="Q363" s="337"/>
      <c r="R363" s="337"/>
      <c r="S363" s="337"/>
      <c r="T363" s="337"/>
      <c r="U363" s="337"/>
      <c r="V363" s="337"/>
      <c r="W363" s="337"/>
      <c r="X363" s="339"/>
      <c r="Y363" s="339"/>
      <c r="Z363" s="339"/>
    </row>
    <row r="364" ht="48.75" customHeight="1" spans="1:37">
      <c r="A364" s="326">
        <v>14</v>
      </c>
      <c r="B364" s="327" t="s">
        <v>388</v>
      </c>
      <c r="C364" s="327"/>
      <c r="D364" s="330" t="s">
        <v>388</v>
      </c>
      <c r="E364" s="331" t="s">
        <v>389</v>
      </c>
      <c r="F364" s="330" t="s">
        <v>114</v>
      </c>
      <c r="G364" s="329"/>
      <c r="H364" s="329"/>
      <c r="I364" s="329"/>
      <c r="J364" s="329"/>
      <c r="K364" s="329"/>
      <c r="L364" s="329"/>
      <c r="M364" s="329"/>
      <c r="N364" s="329"/>
      <c r="O364" s="329">
        <f>ROUND(SUM(N364:N366),4)</f>
        <v>0.232</v>
      </c>
      <c r="P364" s="337">
        <v>16497030</v>
      </c>
      <c r="Q364" s="337"/>
      <c r="R364" s="337">
        <v>3362602</v>
      </c>
      <c r="S364" s="337">
        <v>171775</v>
      </c>
      <c r="T364" s="337">
        <f>ROUND(ROUND(O364,4)*P364,0)</f>
        <v>3827311</v>
      </c>
      <c r="U364" s="337">
        <f>ROUND(ROUND(O364,4)*Q364,0)</f>
        <v>0</v>
      </c>
      <c r="V364" s="337">
        <f>ROUND(ROUND(O364,4)*R364,0)</f>
        <v>780124</v>
      </c>
      <c r="W364" s="337">
        <f>ROUND(ROUND(O364,4)*S364,0)</f>
        <v>39852</v>
      </c>
      <c r="X364" s="339"/>
      <c r="Y364" s="339"/>
      <c r="Z364" s="339"/>
      <c r="AA364" s="325" t="s">
        <v>47</v>
      </c>
      <c r="AB364" s="325" t="s">
        <v>48</v>
      </c>
      <c r="AC364" s="324" t="s">
        <v>134</v>
      </c>
      <c r="AD364" s="324" t="s">
        <v>390</v>
      </c>
      <c r="AE364" s="324" t="s">
        <v>391</v>
      </c>
      <c r="AK364" s="325" t="s">
        <v>51</v>
      </c>
    </row>
    <row r="365" ht="16.5" customHeight="1" spans="1:26">
      <c r="A365" s="326"/>
      <c r="B365" s="327"/>
      <c r="C365" s="327"/>
      <c r="D365" s="330"/>
      <c r="E365" s="333" t="s">
        <v>392</v>
      </c>
      <c r="F365" s="330"/>
      <c r="G365" s="329"/>
      <c r="H365" s="329"/>
      <c r="I365" s="329"/>
      <c r="J365" s="329"/>
      <c r="K365" s="329"/>
      <c r="L365" s="329"/>
      <c r="M365" s="329"/>
      <c r="N365" s="329"/>
      <c r="O365" s="329"/>
      <c r="P365" s="337"/>
      <c r="Q365" s="337"/>
      <c r="R365" s="337"/>
      <c r="S365" s="337"/>
      <c r="T365" s="337"/>
      <c r="U365" s="337"/>
      <c r="V365" s="337"/>
      <c r="W365" s="337"/>
      <c r="X365" s="339"/>
      <c r="Y365" s="339"/>
      <c r="Z365" s="339"/>
    </row>
    <row r="366" ht="26.25" customHeight="1" spans="1:26">
      <c r="A366" s="326"/>
      <c r="B366" s="327"/>
      <c r="C366" s="327"/>
      <c r="D366" s="330"/>
      <c r="E366" s="332" t="s">
        <v>393</v>
      </c>
      <c r="F366" s="330"/>
      <c r="G366" s="329"/>
      <c r="H366" s="329"/>
      <c r="I366" s="329"/>
      <c r="J366" s="329"/>
      <c r="K366" s="329"/>
      <c r="L366" s="329"/>
      <c r="M366" s="329"/>
      <c r="N366" s="329">
        <v>0.232</v>
      </c>
      <c r="O366" s="329"/>
      <c r="P366" s="337"/>
      <c r="Q366" s="337"/>
      <c r="R366" s="337"/>
      <c r="S366" s="337"/>
      <c r="T366" s="337"/>
      <c r="U366" s="337"/>
      <c r="V366" s="337"/>
      <c r="W366" s="337"/>
      <c r="X366" s="339"/>
      <c r="Y366" s="339"/>
      <c r="Z366" s="339"/>
    </row>
    <row r="367" ht="48.75" customHeight="1" spans="1:37">
      <c r="A367" s="326">
        <v>15</v>
      </c>
      <c r="B367" s="327" t="s">
        <v>394</v>
      </c>
      <c r="C367" s="327"/>
      <c r="D367" s="330" t="s">
        <v>394</v>
      </c>
      <c r="E367" s="331" t="s">
        <v>395</v>
      </c>
      <c r="F367" s="330" t="s">
        <v>114</v>
      </c>
      <c r="G367" s="329"/>
      <c r="H367" s="329"/>
      <c r="I367" s="329"/>
      <c r="J367" s="329"/>
      <c r="K367" s="329"/>
      <c r="L367" s="329"/>
      <c r="M367" s="329"/>
      <c r="N367" s="329"/>
      <c r="O367" s="329">
        <f>ROUND(SUM(N367:N369),4)</f>
        <v>0.0065</v>
      </c>
      <c r="P367" s="337">
        <v>16389984</v>
      </c>
      <c r="Q367" s="337"/>
      <c r="R367" s="337">
        <v>2905739</v>
      </c>
      <c r="S367" s="337">
        <v>519586</v>
      </c>
      <c r="T367" s="337">
        <f>ROUND(ROUND(O367,4)*P367,0)</f>
        <v>106535</v>
      </c>
      <c r="U367" s="337">
        <f>ROUND(ROUND(O367,4)*Q367,0)</f>
        <v>0</v>
      </c>
      <c r="V367" s="337">
        <f>ROUND(ROUND(O367,4)*R367,0)</f>
        <v>18887</v>
      </c>
      <c r="W367" s="337">
        <f>ROUND(ROUND(O367,4)*S367,0)</f>
        <v>3377</v>
      </c>
      <c r="X367" s="339"/>
      <c r="Y367" s="339"/>
      <c r="Z367" s="339"/>
      <c r="AA367" s="325" t="s">
        <v>47</v>
      </c>
      <c r="AB367" s="325" t="s">
        <v>48</v>
      </c>
      <c r="AC367" s="324" t="s">
        <v>142</v>
      </c>
      <c r="AD367" s="324" t="s">
        <v>396</v>
      </c>
      <c r="AE367" s="324" t="s">
        <v>397</v>
      </c>
      <c r="AK367" s="325" t="s">
        <v>51</v>
      </c>
    </row>
    <row r="368" ht="16.5" customHeight="1" spans="1:26">
      <c r="A368" s="326"/>
      <c r="B368" s="327"/>
      <c r="C368" s="327"/>
      <c r="D368" s="330"/>
      <c r="E368" s="333" t="s">
        <v>392</v>
      </c>
      <c r="F368" s="330"/>
      <c r="G368" s="329"/>
      <c r="H368" s="329"/>
      <c r="I368" s="329"/>
      <c r="J368" s="329"/>
      <c r="K368" s="329"/>
      <c r="L368" s="329"/>
      <c r="M368" s="329"/>
      <c r="N368" s="329"/>
      <c r="O368" s="329"/>
      <c r="P368" s="337"/>
      <c r="Q368" s="337"/>
      <c r="R368" s="337"/>
      <c r="S368" s="337"/>
      <c r="T368" s="337"/>
      <c r="U368" s="337"/>
      <c r="V368" s="337"/>
      <c r="W368" s="337"/>
      <c r="X368" s="339"/>
      <c r="Y368" s="339"/>
      <c r="Z368" s="339"/>
    </row>
    <row r="369" ht="16.5" customHeight="1" spans="1:26">
      <c r="A369" s="326"/>
      <c r="B369" s="327"/>
      <c r="C369" s="327"/>
      <c r="D369" s="330"/>
      <c r="E369" s="332" t="s">
        <v>398</v>
      </c>
      <c r="F369" s="330"/>
      <c r="G369" s="329"/>
      <c r="H369" s="329"/>
      <c r="I369" s="329"/>
      <c r="J369" s="329"/>
      <c r="K369" s="329"/>
      <c r="L369" s="329"/>
      <c r="M369" s="329"/>
      <c r="N369" s="329">
        <v>0.0065</v>
      </c>
      <c r="O369" s="329"/>
      <c r="P369" s="337"/>
      <c r="Q369" s="337"/>
      <c r="R369" s="337"/>
      <c r="S369" s="337"/>
      <c r="T369" s="337"/>
      <c r="U369" s="337"/>
      <c r="V369" s="337"/>
      <c r="W369" s="337"/>
      <c r="X369" s="339"/>
      <c r="Y369" s="339"/>
      <c r="Z369" s="339"/>
    </row>
    <row r="370" ht="48.75" customHeight="1" spans="1:37">
      <c r="A370" s="326">
        <v>16</v>
      </c>
      <c r="B370" s="327" t="s">
        <v>399</v>
      </c>
      <c r="C370" s="327" t="s">
        <v>156</v>
      </c>
      <c r="D370" s="330" t="s">
        <v>399</v>
      </c>
      <c r="E370" s="331" t="s">
        <v>400</v>
      </c>
      <c r="F370" s="330" t="s">
        <v>55</v>
      </c>
      <c r="G370" s="329"/>
      <c r="H370" s="329"/>
      <c r="I370" s="329"/>
      <c r="J370" s="329"/>
      <c r="K370" s="329"/>
      <c r="L370" s="329">
        <f>ROUND(SUM(L371:L403),4)</f>
        <v>225.778</v>
      </c>
      <c r="M370" s="329">
        <f>ROUND(SUM(M371:M403),4)</f>
        <v>49.6712</v>
      </c>
      <c r="N370" s="329"/>
      <c r="O370" s="329">
        <f>ROUND(SUM(N370:N403),4)</f>
        <v>12.6945</v>
      </c>
      <c r="P370" s="337">
        <v>1161619</v>
      </c>
      <c r="Q370" s="337"/>
      <c r="R370" s="337">
        <v>554299</v>
      </c>
      <c r="S370" s="337">
        <v>161656</v>
      </c>
      <c r="T370" s="337">
        <f>ROUND(ROUND(O370,4)*P370,0)</f>
        <v>14746172</v>
      </c>
      <c r="U370" s="337">
        <f>ROUND(ROUND(O370,4)*Q370,0)</f>
        <v>0</v>
      </c>
      <c r="V370" s="337">
        <f>ROUND(ROUND(O370,4)*R370,0)</f>
        <v>7036549</v>
      </c>
      <c r="W370" s="337">
        <f>ROUND(ROUND(O370,4)*S370,0)</f>
        <v>2052142</v>
      </c>
      <c r="X370" s="339"/>
      <c r="Y370" s="339"/>
      <c r="Z370" s="339"/>
      <c r="AA370" s="325" t="s">
        <v>47</v>
      </c>
      <c r="AB370" s="325" t="s">
        <v>48</v>
      </c>
      <c r="AC370" s="324" t="s">
        <v>158</v>
      </c>
      <c r="AD370" s="324" t="s">
        <v>401</v>
      </c>
      <c r="AE370" s="324" t="s">
        <v>402</v>
      </c>
      <c r="AK370" s="325" t="s">
        <v>51</v>
      </c>
    </row>
    <row r="371" ht="16.5" customHeight="1" spans="1:26">
      <c r="A371" s="326"/>
      <c r="B371" s="327"/>
      <c r="C371" s="327"/>
      <c r="D371" s="330"/>
      <c r="E371" s="333" t="s">
        <v>257</v>
      </c>
      <c r="F371" s="330"/>
      <c r="G371" s="329"/>
      <c r="H371" s="329"/>
      <c r="I371" s="329"/>
      <c r="J371" s="329"/>
      <c r="K371" s="329"/>
      <c r="L371" s="329"/>
      <c r="M371" s="329"/>
      <c r="N371" s="329"/>
      <c r="O371" s="329"/>
      <c r="P371" s="337"/>
      <c r="Q371" s="337"/>
      <c r="R371" s="337"/>
      <c r="S371" s="337"/>
      <c r="T371" s="337"/>
      <c r="U371" s="337"/>
      <c r="V371" s="337"/>
      <c r="W371" s="337"/>
      <c r="X371" s="339"/>
      <c r="Y371" s="339"/>
      <c r="Z371" s="339"/>
    </row>
    <row r="372" ht="16.5" customHeight="1" spans="1:26">
      <c r="A372" s="326"/>
      <c r="B372" s="327"/>
      <c r="C372" s="327"/>
      <c r="D372" s="330"/>
      <c r="E372" s="332" t="s">
        <v>258</v>
      </c>
      <c r="F372" s="330"/>
      <c r="G372" s="329">
        <v>2</v>
      </c>
      <c r="H372" s="329">
        <f>5.5-0.22</f>
        <v>5.28</v>
      </c>
      <c r="I372" s="329">
        <v>0.22</v>
      </c>
      <c r="J372" s="329">
        <f>0.4-0.12</f>
        <v>0.28</v>
      </c>
      <c r="K372" s="329"/>
      <c r="L372" s="329">
        <f>ROUND(G372*H372,4)</f>
        <v>10.56</v>
      </c>
      <c r="M372" s="329">
        <f>ROUND(G372*H372*I372,4)</f>
        <v>2.3232</v>
      </c>
      <c r="N372" s="329">
        <f>ROUND(G372*H372*I372*J372,4)</f>
        <v>0.6505</v>
      </c>
      <c r="O372" s="329"/>
      <c r="P372" s="337"/>
      <c r="Q372" s="337"/>
      <c r="R372" s="337"/>
      <c r="S372" s="337"/>
      <c r="T372" s="337"/>
      <c r="U372" s="337"/>
      <c r="V372" s="337"/>
      <c r="W372" s="337"/>
      <c r="X372" s="339"/>
      <c r="Y372" s="339"/>
      <c r="Z372" s="339"/>
    </row>
    <row r="373" ht="16.5" customHeight="1" spans="1:26">
      <c r="A373" s="326"/>
      <c r="B373" s="327"/>
      <c r="C373" s="327"/>
      <c r="D373" s="330"/>
      <c r="E373" s="332"/>
      <c r="F373" s="330"/>
      <c r="G373" s="329">
        <v>2</v>
      </c>
      <c r="H373" s="329">
        <f>6.5-3*0.22</f>
        <v>5.84</v>
      </c>
      <c r="I373" s="329">
        <v>0.22</v>
      </c>
      <c r="J373" s="329">
        <f>0.3-0.12</f>
        <v>0.18</v>
      </c>
      <c r="K373" s="329"/>
      <c r="L373" s="329">
        <f>ROUND(G373*H373,4)</f>
        <v>11.68</v>
      </c>
      <c r="M373" s="329">
        <f>ROUND(G373*H373*I373,4)</f>
        <v>2.5696</v>
      </c>
      <c r="N373" s="329">
        <f>ROUND(G373*H373*I373*J373,4)</f>
        <v>0.4625</v>
      </c>
      <c r="O373" s="329"/>
      <c r="P373" s="337"/>
      <c r="Q373" s="337"/>
      <c r="R373" s="337"/>
      <c r="S373" s="337"/>
      <c r="T373" s="337"/>
      <c r="U373" s="337"/>
      <c r="V373" s="337"/>
      <c r="W373" s="337"/>
      <c r="X373" s="339"/>
      <c r="Y373" s="339"/>
      <c r="Z373" s="339"/>
    </row>
    <row r="374" ht="16.5" customHeight="1" spans="1:26">
      <c r="A374" s="326"/>
      <c r="B374" s="327"/>
      <c r="C374" s="327"/>
      <c r="D374" s="330"/>
      <c r="E374" s="333" t="s">
        <v>259</v>
      </c>
      <c r="F374" s="330"/>
      <c r="G374" s="329"/>
      <c r="H374" s="329"/>
      <c r="I374" s="329"/>
      <c r="J374" s="329"/>
      <c r="K374" s="329"/>
      <c r="L374" s="329"/>
      <c r="M374" s="329"/>
      <c r="N374" s="329"/>
      <c r="O374" s="329"/>
      <c r="P374" s="337"/>
      <c r="Q374" s="337"/>
      <c r="R374" s="337"/>
      <c r="S374" s="337"/>
      <c r="T374" s="337"/>
      <c r="U374" s="337"/>
      <c r="V374" s="337"/>
      <c r="W374" s="337"/>
      <c r="X374" s="339"/>
      <c r="Y374" s="339"/>
      <c r="Z374" s="339"/>
    </row>
    <row r="375" ht="16.5" customHeight="1" spans="1:26">
      <c r="A375" s="326"/>
      <c r="B375" s="327"/>
      <c r="C375" s="327"/>
      <c r="D375" s="330"/>
      <c r="E375" s="333" t="s">
        <v>260</v>
      </c>
      <c r="F375" s="330"/>
      <c r="G375" s="329"/>
      <c r="H375" s="329"/>
      <c r="I375" s="329"/>
      <c r="J375" s="329"/>
      <c r="K375" s="329"/>
      <c r="L375" s="329"/>
      <c r="M375" s="329"/>
      <c r="N375" s="329"/>
      <c r="O375" s="329"/>
      <c r="P375" s="337"/>
      <c r="Q375" s="337"/>
      <c r="R375" s="337"/>
      <c r="S375" s="337"/>
      <c r="T375" s="337"/>
      <c r="U375" s="337"/>
      <c r="V375" s="337"/>
      <c r="W375" s="337"/>
      <c r="X375" s="339"/>
      <c r="Y375" s="339"/>
      <c r="Z375" s="339"/>
    </row>
    <row r="376" ht="16.5" customHeight="1" spans="1:26">
      <c r="A376" s="326"/>
      <c r="B376" s="327"/>
      <c r="C376" s="327"/>
      <c r="D376" s="330"/>
      <c r="E376" s="332" t="s">
        <v>261</v>
      </c>
      <c r="F376" s="330"/>
      <c r="G376" s="329">
        <v>1</v>
      </c>
      <c r="H376" s="329">
        <v>2.26</v>
      </c>
      <c r="I376" s="329">
        <v>0.22</v>
      </c>
      <c r="J376" s="329">
        <f>0.3-0.12</f>
        <v>0.18</v>
      </c>
      <c r="K376" s="329"/>
      <c r="L376" s="329">
        <f>ROUND(G376*H376,4)</f>
        <v>2.26</v>
      </c>
      <c r="M376" s="329">
        <f>ROUND(G376*H376*I376,4)</f>
        <v>0.4972</v>
      </c>
      <c r="N376" s="329">
        <f>ROUND(G376*H376*I376*J376,4)</f>
        <v>0.0895</v>
      </c>
      <c r="O376" s="329"/>
      <c r="P376" s="337"/>
      <c r="Q376" s="337"/>
      <c r="R376" s="337"/>
      <c r="S376" s="337"/>
      <c r="T376" s="337"/>
      <c r="U376" s="337"/>
      <c r="V376" s="337"/>
      <c r="W376" s="337"/>
      <c r="X376" s="339"/>
      <c r="Y376" s="339"/>
      <c r="Z376" s="339"/>
    </row>
    <row r="377" ht="16.5" customHeight="1" spans="1:26">
      <c r="A377" s="326"/>
      <c r="B377" s="327"/>
      <c r="C377" s="327"/>
      <c r="D377" s="330"/>
      <c r="E377" s="332" t="s">
        <v>262</v>
      </c>
      <c r="F377" s="330"/>
      <c r="G377" s="329">
        <v>2</v>
      </c>
      <c r="H377" s="329">
        <v>1.054</v>
      </c>
      <c r="I377" s="329">
        <v>0.22</v>
      </c>
      <c r="J377" s="329">
        <f>0.4-0.1</f>
        <v>0.3</v>
      </c>
      <c r="K377" s="329"/>
      <c r="L377" s="329">
        <f>ROUND(G377*H377,4)</f>
        <v>2.108</v>
      </c>
      <c r="M377" s="329">
        <f>ROUND(G377*H377*I377,4)</f>
        <v>0.4638</v>
      </c>
      <c r="N377" s="329">
        <f>ROUND(G377*H377*I377*J377,4)</f>
        <v>0.1391</v>
      </c>
      <c r="O377" s="329"/>
      <c r="P377" s="337"/>
      <c r="Q377" s="337"/>
      <c r="R377" s="337"/>
      <c r="S377" s="337"/>
      <c r="T377" s="337"/>
      <c r="U377" s="337"/>
      <c r="V377" s="337"/>
      <c r="W377" s="337"/>
      <c r="X377" s="339"/>
      <c r="Y377" s="339"/>
      <c r="Z377" s="339"/>
    </row>
    <row r="378" ht="16.5" customHeight="1" spans="1:26">
      <c r="A378" s="326"/>
      <c r="B378" s="327"/>
      <c r="C378" s="327"/>
      <c r="D378" s="330"/>
      <c r="E378" s="332" t="s">
        <v>263</v>
      </c>
      <c r="F378" s="330"/>
      <c r="G378" s="329">
        <v>4</v>
      </c>
      <c r="H378" s="329">
        <v>4.56</v>
      </c>
      <c r="I378" s="329">
        <v>0.22</v>
      </c>
      <c r="J378" s="329">
        <f>0.4-0.12</f>
        <v>0.28</v>
      </c>
      <c r="K378" s="329"/>
      <c r="L378" s="329">
        <f>ROUND(G378*H378,4)</f>
        <v>18.24</v>
      </c>
      <c r="M378" s="329">
        <f>ROUND(G378*H378*I378,4)</f>
        <v>4.0128</v>
      </c>
      <c r="N378" s="329">
        <f>ROUND(G378*H378*I378*J378,4)</f>
        <v>1.1236</v>
      </c>
      <c r="O378" s="329"/>
      <c r="P378" s="337"/>
      <c r="Q378" s="337"/>
      <c r="R378" s="337"/>
      <c r="S378" s="337"/>
      <c r="T378" s="337"/>
      <c r="U378" s="337"/>
      <c r="V378" s="337"/>
      <c r="W378" s="337"/>
      <c r="X378" s="339"/>
      <c r="Y378" s="339"/>
      <c r="Z378" s="339"/>
    </row>
    <row r="379" ht="16.5" customHeight="1" spans="1:26">
      <c r="A379" s="326"/>
      <c r="B379" s="327"/>
      <c r="C379" s="327"/>
      <c r="D379" s="330"/>
      <c r="E379" s="333" t="s">
        <v>264</v>
      </c>
      <c r="F379" s="330"/>
      <c r="G379" s="329"/>
      <c r="H379" s="329"/>
      <c r="I379" s="329"/>
      <c r="J379" s="329"/>
      <c r="K379" s="329"/>
      <c r="L379" s="329"/>
      <c r="M379" s="329"/>
      <c r="N379" s="329"/>
      <c r="O379" s="329"/>
      <c r="P379" s="337"/>
      <c r="Q379" s="337"/>
      <c r="R379" s="337"/>
      <c r="S379" s="337"/>
      <c r="T379" s="337"/>
      <c r="U379" s="337"/>
      <c r="V379" s="337"/>
      <c r="W379" s="337"/>
      <c r="X379" s="339"/>
      <c r="Y379" s="339"/>
      <c r="Z379" s="339"/>
    </row>
    <row r="380" ht="16.5" customHeight="1" spans="1:26">
      <c r="A380" s="326"/>
      <c r="B380" s="327"/>
      <c r="C380" s="327"/>
      <c r="D380" s="330"/>
      <c r="E380" s="332" t="s">
        <v>265</v>
      </c>
      <c r="F380" s="330"/>
      <c r="G380" s="329">
        <v>1</v>
      </c>
      <c r="H380" s="329">
        <v>4.05</v>
      </c>
      <c r="I380" s="329">
        <v>0.22</v>
      </c>
      <c r="J380" s="329">
        <f>0.4-0.1</f>
        <v>0.3</v>
      </c>
      <c r="K380" s="329"/>
      <c r="L380" s="329">
        <f>ROUND(G380*H380,4)</f>
        <v>4.05</v>
      </c>
      <c r="M380" s="329">
        <f>ROUND(G380*H380*I380,4)</f>
        <v>0.891</v>
      </c>
      <c r="N380" s="329">
        <f>ROUND(G380*H380*I380*J380,4)</f>
        <v>0.2673</v>
      </c>
      <c r="O380" s="329"/>
      <c r="P380" s="337"/>
      <c r="Q380" s="337"/>
      <c r="R380" s="337"/>
      <c r="S380" s="337"/>
      <c r="T380" s="337"/>
      <c r="U380" s="337"/>
      <c r="V380" s="337"/>
      <c r="W380" s="337"/>
      <c r="X380" s="339"/>
      <c r="Y380" s="339"/>
      <c r="Z380" s="339"/>
    </row>
    <row r="381" ht="16.5" customHeight="1" spans="1:26">
      <c r="A381" s="326"/>
      <c r="B381" s="327"/>
      <c r="C381" s="327"/>
      <c r="D381" s="330"/>
      <c r="E381" s="333" t="s">
        <v>266</v>
      </c>
      <c r="F381" s="330"/>
      <c r="G381" s="329"/>
      <c r="H381" s="329"/>
      <c r="I381" s="329"/>
      <c r="J381" s="329"/>
      <c r="K381" s="329"/>
      <c r="L381" s="329"/>
      <c r="M381" s="329"/>
      <c r="N381" s="329"/>
      <c r="O381" s="329"/>
      <c r="P381" s="337"/>
      <c r="Q381" s="337"/>
      <c r="R381" s="337"/>
      <c r="S381" s="337"/>
      <c r="T381" s="337"/>
      <c r="U381" s="337"/>
      <c r="V381" s="337"/>
      <c r="W381" s="337"/>
      <c r="X381" s="339"/>
      <c r="Y381" s="339"/>
      <c r="Z381" s="339"/>
    </row>
    <row r="382" ht="16.5" customHeight="1" spans="1:26">
      <c r="A382" s="326"/>
      <c r="B382" s="327"/>
      <c r="C382" s="327"/>
      <c r="D382" s="330"/>
      <c r="E382" s="332" t="s">
        <v>267</v>
      </c>
      <c r="F382" s="330"/>
      <c r="G382" s="329">
        <v>4</v>
      </c>
      <c r="H382" s="329">
        <f>5.5-0.22</f>
        <v>5.28</v>
      </c>
      <c r="I382" s="329">
        <v>0.22</v>
      </c>
      <c r="J382" s="329">
        <f>0.4-0.12</f>
        <v>0.28</v>
      </c>
      <c r="K382" s="329"/>
      <c r="L382" s="329">
        <f>ROUND(G382*H382,4)</f>
        <v>21.12</v>
      </c>
      <c r="M382" s="329">
        <f>ROUND(G382*H382*I382,4)</f>
        <v>4.6464</v>
      </c>
      <c r="N382" s="329">
        <f>ROUND(G382*H382*I382*J382,4)</f>
        <v>1.301</v>
      </c>
      <c r="O382" s="329"/>
      <c r="P382" s="337"/>
      <c r="Q382" s="337"/>
      <c r="R382" s="337"/>
      <c r="S382" s="337"/>
      <c r="T382" s="337"/>
      <c r="U382" s="337"/>
      <c r="V382" s="337"/>
      <c r="W382" s="337"/>
      <c r="X382" s="339"/>
      <c r="Y382" s="339"/>
      <c r="Z382" s="339"/>
    </row>
    <row r="383" ht="16.5" customHeight="1" spans="1:26">
      <c r="A383" s="326"/>
      <c r="B383" s="327"/>
      <c r="C383" s="327"/>
      <c r="D383" s="330"/>
      <c r="E383" s="332"/>
      <c r="F383" s="330"/>
      <c r="G383" s="329">
        <v>4</v>
      </c>
      <c r="H383" s="329">
        <f>6.5-3*0.22</f>
        <v>5.84</v>
      </c>
      <c r="I383" s="329">
        <v>0.22</v>
      </c>
      <c r="J383" s="329">
        <f>0.3-0.12</f>
        <v>0.18</v>
      </c>
      <c r="K383" s="329"/>
      <c r="L383" s="329">
        <f>ROUND(G383*H383,4)</f>
        <v>23.36</v>
      </c>
      <c r="M383" s="329">
        <f>ROUND(G383*H383*I383,4)</f>
        <v>5.1392</v>
      </c>
      <c r="N383" s="329">
        <f>ROUND(G383*H383*I383*J383,4)</f>
        <v>0.9251</v>
      </c>
      <c r="O383" s="329"/>
      <c r="P383" s="337"/>
      <c r="Q383" s="337"/>
      <c r="R383" s="337"/>
      <c r="S383" s="337"/>
      <c r="T383" s="337"/>
      <c r="U383" s="337"/>
      <c r="V383" s="337"/>
      <c r="W383" s="337"/>
      <c r="X383" s="339"/>
      <c r="Y383" s="339"/>
      <c r="Z383" s="339"/>
    </row>
    <row r="384" ht="16.5" customHeight="1" spans="1:26">
      <c r="A384" s="326"/>
      <c r="B384" s="327"/>
      <c r="C384" s="327"/>
      <c r="D384" s="330"/>
      <c r="E384" s="333" t="s">
        <v>268</v>
      </c>
      <c r="F384" s="330"/>
      <c r="G384" s="329"/>
      <c r="H384" s="329"/>
      <c r="I384" s="329"/>
      <c r="J384" s="329"/>
      <c r="K384" s="329"/>
      <c r="L384" s="329"/>
      <c r="M384" s="329"/>
      <c r="N384" s="329"/>
      <c r="O384" s="329"/>
      <c r="P384" s="337"/>
      <c r="Q384" s="337"/>
      <c r="R384" s="337"/>
      <c r="S384" s="337"/>
      <c r="T384" s="337"/>
      <c r="U384" s="337"/>
      <c r="V384" s="337"/>
      <c r="W384" s="337"/>
      <c r="X384" s="339"/>
      <c r="Y384" s="339"/>
      <c r="Z384" s="339"/>
    </row>
    <row r="385" ht="16.5" customHeight="1" spans="1:26">
      <c r="A385" s="326"/>
      <c r="B385" s="327"/>
      <c r="C385" s="327"/>
      <c r="D385" s="330"/>
      <c r="E385" s="333" t="s">
        <v>269</v>
      </c>
      <c r="F385" s="330"/>
      <c r="G385" s="329"/>
      <c r="H385" s="329"/>
      <c r="I385" s="329"/>
      <c r="J385" s="329"/>
      <c r="K385" s="329"/>
      <c r="L385" s="329"/>
      <c r="M385" s="329"/>
      <c r="N385" s="329"/>
      <c r="O385" s="329"/>
      <c r="P385" s="337"/>
      <c r="Q385" s="337"/>
      <c r="R385" s="337"/>
      <c r="S385" s="337"/>
      <c r="T385" s="337"/>
      <c r="U385" s="337"/>
      <c r="V385" s="337"/>
      <c r="W385" s="337"/>
      <c r="X385" s="339"/>
      <c r="Y385" s="339"/>
      <c r="Z385" s="339"/>
    </row>
    <row r="386" ht="16.5" customHeight="1" spans="1:26">
      <c r="A386" s="326"/>
      <c r="B386" s="327"/>
      <c r="C386" s="327"/>
      <c r="D386" s="330"/>
      <c r="E386" s="332" t="s">
        <v>270</v>
      </c>
      <c r="F386" s="330"/>
      <c r="G386" s="329">
        <v>2</v>
      </c>
      <c r="H386" s="329">
        <v>2.26</v>
      </c>
      <c r="I386" s="329">
        <v>0.22</v>
      </c>
      <c r="J386" s="329">
        <f>0.3-0.12</f>
        <v>0.18</v>
      </c>
      <c r="K386" s="329"/>
      <c r="L386" s="329">
        <f>ROUND(G386*H386,4)</f>
        <v>4.52</v>
      </c>
      <c r="M386" s="329">
        <f>ROUND(G386*H386*I386,4)</f>
        <v>0.9944</v>
      </c>
      <c r="N386" s="329">
        <f>ROUND(G386*H386*I386*J386,4)</f>
        <v>0.179</v>
      </c>
      <c r="O386" s="329"/>
      <c r="P386" s="337"/>
      <c r="Q386" s="337"/>
      <c r="R386" s="337"/>
      <c r="S386" s="337"/>
      <c r="T386" s="337"/>
      <c r="U386" s="337"/>
      <c r="V386" s="337"/>
      <c r="W386" s="337"/>
      <c r="X386" s="339"/>
      <c r="Y386" s="339"/>
      <c r="Z386" s="339"/>
    </row>
    <row r="387" ht="16.5" customHeight="1" spans="1:26">
      <c r="A387" s="326"/>
      <c r="B387" s="327"/>
      <c r="C387" s="327"/>
      <c r="D387" s="330"/>
      <c r="E387" s="332" t="s">
        <v>271</v>
      </c>
      <c r="F387" s="330"/>
      <c r="G387" s="329">
        <v>4</v>
      </c>
      <c r="H387" s="329">
        <v>0.665</v>
      </c>
      <c r="I387" s="329">
        <v>0.22</v>
      </c>
      <c r="J387" s="329">
        <f>0.3-0.1</f>
        <v>0.2</v>
      </c>
      <c r="K387" s="329"/>
      <c r="L387" s="329">
        <f>ROUND(G387*H387,4)</f>
        <v>2.66</v>
      </c>
      <c r="M387" s="329">
        <f>ROUND(G387*H387*I387,4)</f>
        <v>0.5852</v>
      </c>
      <c r="N387" s="329">
        <f>ROUND(G387*H387*I387*J387,4)</f>
        <v>0.117</v>
      </c>
      <c r="O387" s="329"/>
      <c r="P387" s="337"/>
      <c r="Q387" s="337"/>
      <c r="R387" s="337"/>
      <c r="S387" s="337"/>
      <c r="T387" s="337"/>
      <c r="U387" s="337"/>
      <c r="V387" s="337"/>
      <c r="W387" s="337"/>
      <c r="X387" s="339"/>
      <c r="Y387" s="339"/>
      <c r="Z387" s="339"/>
    </row>
    <row r="388" ht="16.5" customHeight="1" spans="1:26">
      <c r="A388" s="326"/>
      <c r="B388" s="327"/>
      <c r="C388" s="327"/>
      <c r="D388" s="330"/>
      <c r="E388" s="332" t="s">
        <v>272</v>
      </c>
      <c r="F388" s="330"/>
      <c r="G388" s="329">
        <v>6</v>
      </c>
      <c r="H388" s="329">
        <v>4.56</v>
      </c>
      <c r="I388" s="329">
        <v>0.22</v>
      </c>
      <c r="J388" s="329">
        <f>0.4-0.12</f>
        <v>0.28</v>
      </c>
      <c r="K388" s="329"/>
      <c r="L388" s="329">
        <f>ROUND(G388*H388,4)</f>
        <v>27.36</v>
      </c>
      <c r="M388" s="329">
        <f>ROUND(G388*H388*I388,4)</f>
        <v>6.0192</v>
      </c>
      <c r="N388" s="329">
        <f>ROUND(G388*H388*I388*J388,4)</f>
        <v>1.6854</v>
      </c>
      <c r="O388" s="329"/>
      <c r="P388" s="337"/>
      <c r="Q388" s="337"/>
      <c r="R388" s="337"/>
      <c r="S388" s="337"/>
      <c r="T388" s="337"/>
      <c r="U388" s="337"/>
      <c r="V388" s="337"/>
      <c r="W388" s="337"/>
      <c r="X388" s="339"/>
      <c r="Y388" s="339"/>
      <c r="Z388" s="339"/>
    </row>
    <row r="389" ht="16.5" customHeight="1" spans="1:26">
      <c r="A389" s="326"/>
      <c r="B389" s="327"/>
      <c r="C389" s="327"/>
      <c r="D389" s="330"/>
      <c r="E389" s="332" t="s">
        <v>273</v>
      </c>
      <c r="F389" s="330"/>
      <c r="G389" s="329">
        <v>2</v>
      </c>
      <c r="H389" s="329">
        <v>4.56</v>
      </c>
      <c r="I389" s="329">
        <v>0.22</v>
      </c>
      <c r="J389" s="329">
        <f>0.4-0.12</f>
        <v>0.28</v>
      </c>
      <c r="K389" s="329"/>
      <c r="L389" s="329">
        <f>ROUND(G389*H389,4)</f>
        <v>9.12</v>
      </c>
      <c r="M389" s="329">
        <f>ROUND(G389*H389*I389,4)</f>
        <v>2.0064</v>
      </c>
      <c r="N389" s="329">
        <f>ROUND(G389*H389*I389*J389,4)</f>
        <v>0.5618</v>
      </c>
      <c r="O389" s="329"/>
      <c r="P389" s="337"/>
      <c r="Q389" s="337"/>
      <c r="R389" s="337"/>
      <c r="S389" s="337"/>
      <c r="T389" s="337"/>
      <c r="U389" s="337"/>
      <c r="V389" s="337"/>
      <c r="W389" s="337"/>
      <c r="X389" s="339"/>
      <c r="Y389" s="339"/>
      <c r="Z389" s="339"/>
    </row>
    <row r="390" ht="16.5" customHeight="1" spans="1:26">
      <c r="A390" s="326"/>
      <c r="B390" s="327"/>
      <c r="C390" s="327"/>
      <c r="D390" s="330"/>
      <c r="E390" s="333" t="s">
        <v>274</v>
      </c>
      <c r="F390" s="330"/>
      <c r="G390" s="329"/>
      <c r="H390" s="329"/>
      <c r="I390" s="329"/>
      <c r="J390" s="329"/>
      <c r="K390" s="329"/>
      <c r="L390" s="329"/>
      <c r="M390" s="329"/>
      <c r="N390" s="329"/>
      <c r="O390" s="329"/>
      <c r="P390" s="337"/>
      <c r="Q390" s="337"/>
      <c r="R390" s="337"/>
      <c r="S390" s="337"/>
      <c r="T390" s="337"/>
      <c r="U390" s="337"/>
      <c r="V390" s="337"/>
      <c r="W390" s="337"/>
      <c r="X390" s="339"/>
      <c r="Y390" s="339"/>
      <c r="Z390" s="339"/>
    </row>
    <row r="391" ht="16.5" customHeight="1" spans="1:26">
      <c r="A391" s="326"/>
      <c r="B391" s="327"/>
      <c r="C391" s="327"/>
      <c r="D391" s="330"/>
      <c r="E391" s="333" t="s">
        <v>275</v>
      </c>
      <c r="F391" s="330"/>
      <c r="G391" s="329"/>
      <c r="H391" s="329"/>
      <c r="I391" s="329"/>
      <c r="J391" s="329"/>
      <c r="K391" s="329"/>
      <c r="L391" s="329"/>
      <c r="M391" s="329"/>
      <c r="N391" s="329"/>
      <c r="O391" s="329"/>
      <c r="P391" s="337"/>
      <c r="Q391" s="337"/>
      <c r="R391" s="337"/>
      <c r="S391" s="337"/>
      <c r="T391" s="337"/>
      <c r="U391" s="337"/>
      <c r="V391" s="337"/>
      <c r="W391" s="337"/>
      <c r="X391" s="339"/>
      <c r="Y391" s="339"/>
      <c r="Z391" s="339"/>
    </row>
    <row r="392" ht="16.5" customHeight="1" spans="1:26">
      <c r="A392" s="326"/>
      <c r="B392" s="327"/>
      <c r="C392" s="327"/>
      <c r="D392" s="330"/>
      <c r="E392" s="332" t="s">
        <v>276</v>
      </c>
      <c r="F392" s="330"/>
      <c r="G392" s="329">
        <v>2</v>
      </c>
      <c r="H392" s="329">
        <v>1.95</v>
      </c>
      <c r="I392" s="329">
        <v>0.22</v>
      </c>
      <c r="J392" s="329">
        <f>0.3-0.1</f>
        <v>0.2</v>
      </c>
      <c r="K392" s="329"/>
      <c r="L392" s="329">
        <f>ROUND(G392*H392,4)</f>
        <v>3.9</v>
      </c>
      <c r="M392" s="329">
        <f>ROUND(G392*H392*I392,4)</f>
        <v>0.858</v>
      </c>
      <c r="N392" s="329">
        <f>ROUND(G392*H392*I392*J392,4)</f>
        <v>0.1716</v>
      </c>
      <c r="O392" s="329"/>
      <c r="P392" s="337"/>
      <c r="Q392" s="337"/>
      <c r="R392" s="337"/>
      <c r="S392" s="337"/>
      <c r="T392" s="337"/>
      <c r="U392" s="337"/>
      <c r="V392" s="337"/>
      <c r="W392" s="337"/>
      <c r="X392" s="339"/>
      <c r="Y392" s="339"/>
      <c r="Z392" s="339"/>
    </row>
    <row r="393" ht="16.5" customHeight="1" spans="1:26">
      <c r="A393" s="326"/>
      <c r="B393" s="327"/>
      <c r="C393" s="327"/>
      <c r="D393" s="330"/>
      <c r="E393" s="333" t="s">
        <v>277</v>
      </c>
      <c r="F393" s="330"/>
      <c r="G393" s="329"/>
      <c r="H393" s="329"/>
      <c r="I393" s="329"/>
      <c r="J393" s="329"/>
      <c r="K393" s="329"/>
      <c r="L393" s="329"/>
      <c r="M393" s="329"/>
      <c r="N393" s="329"/>
      <c r="O393" s="329"/>
      <c r="P393" s="337"/>
      <c r="Q393" s="337"/>
      <c r="R393" s="337"/>
      <c r="S393" s="337"/>
      <c r="T393" s="337"/>
      <c r="U393" s="337"/>
      <c r="V393" s="337"/>
      <c r="W393" s="337"/>
      <c r="X393" s="339"/>
      <c r="Y393" s="339"/>
      <c r="Z393" s="339"/>
    </row>
    <row r="394" ht="16.5" customHeight="1" spans="1:26">
      <c r="A394" s="326"/>
      <c r="B394" s="327"/>
      <c r="C394" s="327"/>
      <c r="D394" s="330"/>
      <c r="E394" s="332" t="s">
        <v>278</v>
      </c>
      <c r="F394" s="330"/>
      <c r="G394" s="329">
        <v>2</v>
      </c>
      <c r="H394" s="329">
        <f>5.5-0.22</f>
        <v>5.28</v>
      </c>
      <c r="I394" s="329">
        <v>0.22</v>
      </c>
      <c r="J394" s="329">
        <f>0.4-0.12</f>
        <v>0.28</v>
      </c>
      <c r="K394" s="329"/>
      <c r="L394" s="329">
        <f t="shared" ref="L394:L400" si="23">ROUND(G394*H394,4)</f>
        <v>10.56</v>
      </c>
      <c r="M394" s="329">
        <f t="shared" ref="M394:M400" si="24">ROUND(G394*H394*I394,4)</f>
        <v>2.3232</v>
      </c>
      <c r="N394" s="329">
        <f t="shared" ref="N394:N400" si="25">ROUND(G394*H394*I394*J394,4)</f>
        <v>0.6505</v>
      </c>
      <c r="O394" s="329"/>
      <c r="P394" s="337"/>
      <c r="Q394" s="337"/>
      <c r="R394" s="337"/>
      <c r="S394" s="337"/>
      <c r="T394" s="337"/>
      <c r="U394" s="337"/>
      <c r="V394" s="337"/>
      <c r="W394" s="337"/>
      <c r="X394" s="339"/>
      <c r="Y394" s="339"/>
      <c r="Z394" s="339"/>
    </row>
    <row r="395" ht="16.5" customHeight="1" spans="1:26">
      <c r="A395" s="326"/>
      <c r="B395" s="327"/>
      <c r="C395" s="327"/>
      <c r="D395" s="330"/>
      <c r="E395" s="332"/>
      <c r="F395" s="330"/>
      <c r="G395" s="329">
        <v>2</v>
      </c>
      <c r="H395" s="329">
        <f>6.5-3*0.22</f>
        <v>5.84</v>
      </c>
      <c r="I395" s="329">
        <v>0.22</v>
      </c>
      <c r="J395" s="329">
        <f>0.3-0.12</f>
        <v>0.18</v>
      </c>
      <c r="K395" s="329"/>
      <c r="L395" s="329">
        <f t="shared" si="23"/>
        <v>11.68</v>
      </c>
      <c r="M395" s="329">
        <f t="shared" si="24"/>
        <v>2.5696</v>
      </c>
      <c r="N395" s="329">
        <f t="shared" si="25"/>
        <v>0.4625</v>
      </c>
      <c r="O395" s="329"/>
      <c r="P395" s="337"/>
      <c r="Q395" s="337"/>
      <c r="R395" s="337"/>
      <c r="S395" s="337"/>
      <c r="T395" s="337"/>
      <c r="U395" s="337"/>
      <c r="V395" s="337"/>
      <c r="W395" s="337"/>
      <c r="X395" s="339"/>
      <c r="Y395" s="339"/>
      <c r="Z395" s="339"/>
    </row>
    <row r="396" ht="16.5" customHeight="1" spans="1:26">
      <c r="A396" s="326"/>
      <c r="B396" s="327"/>
      <c r="C396" s="327"/>
      <c r="D396" s="330"/>
      <c r="E396" s="332" t="s">
        <v>279</v>
      </c>
      <c r="F396" s="330"/>
      <c r="G396" s="329">
        <v>2</v>
      </c>
      <c r="H396" s="329">
        <v>0.82</v>
      </c>
      <c r="I396" s="329">
        <v>0.22</v>
      </c>
      <c r="J396" s="329">
        <f>0.3-0.1</f>
        <v>0.2</v>
      </c>
      <c r="K396" s="329"/>
      <c r="L396" s="329">
        <f t="shared" si="23"/>
        <v>1.64</v>
      </c>
      <c r="M396" s="329">
        <f t="shared" si="24"/>
        <v>0.3608</v>
      </c>
      <c r="N396" s="329">
        <f t="shared" si="25"/>
        <v>0.0722</v>
      </c>
      <c r="O396" s="329"/>
      <c r="P396" s="337"/>
      <c r="Q396" s="337"/>
      <c r="R396" s="337"/>
      <c r="S396" s="337"/>
      <c r="T396" s="337"/>
      <c r="U396" s="337"/>
      <c r="V396" s="337"/>
      <c r="W396" s="337"/>
      <c r="X396" s="339"/>
      <c r="Y396" s="339"/>
      <c r="Z396" s="339"/>
    </row>
    <row r="397" ht="16.5" customHeight="1" spans="1:26">
      <c r="A397" s="326"/>
      <c r="B397" s="327"/>
      <c r="C397" s="327"/>
      <c r="D397" s="330"/>
      <c r="E397" s="332" t="s">
        <v>280</v>
      </c>
      <c r="F397" s="330"/>
      <c r="G397" s="329">
        <v>1</v>
      </c>
      <c r="H397" s="329">
        <v>2.26</v>
      </c>
      <c r="I397" s="329">
        <v>0.22</v>
      </c>
      <c r="J397" s="329">
        <f>0.3-0.12</f>
        <v>0.18</v>
      </c>
      <c r="K397" s="329"/>
      <c r="L397" s="329">
        <f t="shared" si="23"/>
        <v>2.26</v>
      </c>
      <c r="M397" s="329">
        <f t="shared" si="24"/>
        <v>0.4972</v>
      </c>
      <c r="N397" s="329">
        <f t="shared" si="25"/>
        <v>0.0895</v>
      </c>
      <c r="O397" s="329"/>
      <c r="P397" s="337"/>
      <c r="Q397" s="337"/>
      <c r="R397" s="337"/>
      <c r="S397" s="337"/>
      <c r="T397" s="337"/>
      <c r="U397" s="337"/>
      <c r="V397" s="337"/>
      <c r="W397" s="337"/>
      <c r="X397" s="339"/>
      <c r="Y397" s="339"/>
      <c r="Z397" s="339"/>
    </row>
    <row r="398" ht="16.5" customHeight="1" spans="1:26">
      <c r="A398" s="326"/>
      <c r="B398" s="327"/>
      <c r="C398" s="327"/>
      <c r="D398" s="330"/>
      <c r="E398" s="332" t="s">
        <v>281</v>
      </c>
      <c r="F398" s="330"/>
      <c r="G398" s="329">
        <v>1</v>
      </c>
      <c r="H398" s="329">
        <v>2.16</v>
      </c>
      <c r="I398" s="329">
        <v>0.22</v>
      </c>
      <c r="J398" s="329">
        <f>0.3-0.1</f>
        <v>0.2</v>
      </c>
      <c r="K398" s="329"/>
      <c r="L398" s="329">
        <f t="shared" si="23"/>
        <v>2.16</v>
      </c>
      <c r="M398" s="329">
        <f t="shared" si="24"/>
        <v>0.4752</v>
      </c>
      <c r="N398" s="329">
        <f t="shared" si="25"/>
        <v>0.095</v>
      </c>
      <c r="O398" s="329"/>
      <c r="P398" s="337"/>
      <c r="Q398" s="337"/>
      <c r="R398" s="337"/>
      <c r="S398" s="337"/>
      <c r="T398" s="337"/>
      <c r="U398" s="337"/>
      <c r="V398" s="337"/>
      <c r="W398" s="337"/>
      <c r="X398" s="339"/>
      <c r="Y398" s="339"/>
      <c r="Z398" s="339"/>
    </row>
    <row r="399" ht="16.5" customHeight="1" spans="1:26">
      <c r="A399" s="326"/>
      <c r="B399" s="327"/>
      <c r="C399" s="327"/>
      <c r="D399" s="330"/>
      <c r="E399" s="332" t="s">
        <v>282</v>
      </c>
      <c r="F399" s="330"/>
      <c r="G399" s="329">
        <v>3</v>
      </c>
      <c r="H399" s="329">
        <v>4.56</v>
      </c>
      <c r="I399" s="329">
        <v>0.22</v>
      </c>
      <c r="J399" s="329">
        <f>0.4-0.12</f>
        <v>0.28</v>
      </c>
      <c r="K399" s="329"/>
      <c r="L399" s="329">
        <f t="shared" si="23"/>
        <v>13.68</v>
      </c>
      <c r="M399" s="329">
        <f t="shared" si="24"/>
        <v>3.0096</v>
      </c>
      <c r="N399" s="329">
        <f t="shared" si="25"/>
        <v>0.8427</v>
      </c>
      <c r="O399" s="329"/>
      <c r="P399" s="337"/>
      <c r="Q399" s="337"/>
      <c r="R399" s="337"/>
      <c r="S399" s="337"/>
      <c r="T399" s="337"/>
      <c r="U399" s="337"/>
      <c r="V399" s="337"/>
      <c r="W399" s="337"/>
      <c r="X399" s="339"/>
      <c r="Y399" s="339"/>
      <c r="Z399" s="339"/>
    </row>
    <row r="400" ht="16.5" customHeight="1" spans="1:26">
      <c r="A400" s="326"/>
      <c r="B400" s="327"/>
      <c r="C400" s="327"/>
      <c r="D400" s="330"/>
      <c r="E400" s="332" t="s">
        <v>283</v>
      </c>
      <c r="F400" s="330"/>
      <c r="G400" s="329">
        <v>1</v>
      </c>
      <c r="H400" s="329">
        <v>4.56</v>
      </c>
      <c r="I400" s="329">
        <v>0.22</v>
      </c>
      <c r="J400" s="329">
        <f>0.4-0.12</f>
        <v>0.28</v>
      </c>
      <c r="K400" s="329"/>
      <c r="L400" s="329">
        <f t="shared" si="23"/>
        <v>4.56</v>
      </c>
      <c r="M400" s="329">
        <f t="shared" si="24"/>
        <v>1.0032</v>
      </c>
      <c r="N400" s="329">
        <f t="shared" si="25"/>
        <v>0.2809</v>
      </c>
      <c r="O400" s="329"/>
      <c r="P400" s="337"/>
      <c r="Q400" s="337"/>
      <c r="R400" s="337"/>
      <c r="S400" s="337"/>
      <c r="T400" s="337"/>
      <c r="U400" s="337"/>
      <c r="V400" s="337"/>
      <c r="W400" s="337"/>
      <c r="X400" s="339"/>
      <c r="Y400" s="339"/>
      <c r="Z400" s="339"/>
    </row>
    <row r="401" ht="16.5" customHeight="1" spans="1:26">
      <c r="A401" s="326"/>
      <c r="B401" s="327"/>
      <c r="C401" s="327"/>
      <c r="D401" s="330"/>
      <c r="E401" s="333" t="s">
        <v>284</v>
      </c>
      <c r="F401" s="330"/>
      <c r="G401" s="329"/>
      <c r="H401" s="329"/>
      <c r="I401" s="329"/>
      <c r="J401" s="329"/>
      <c r="K401" s="329"/>
      <c r="L401" s="329"/>
      <c r="M401" s="329"/>
      <c r="N401" s="329"/>
      <c r="O401" s="329"/>
      <c r="P401" s="337"/>
      <c r="Q401" s="337"/>
      <c r="R401" s="337"/>
      <c r="S401" s="337"/>
      <c r="T401" s="337"/>
      <c r="U401" s="337"/>
      <c r="V401" s="337"/>
      <c r="W401" s="337"/>
      <c r="X401" s="339"/>
      <c r="Y401" s="339"/>
      <c r="Z401" s="339"/>
    </row>
    <row r="402" ht="16.5" customHeight="1" spans="1:26">
      <c r="A402" s="326"/>
      <c r="B402" s="327"/>
      <c r="C402" s="327"/>
      <c r="D402" s="330"/>
      <c r="E402" s="332" t="s">
        <v>285</v>
      </c>
      <c r="F402" s="330"/>
      <c r="G402" s="329">
        <v>2</v>
      </c>
      <c r="H402" s="329">
        <f>10.91-0.22*4</f>
        <v>10.03</v>
      </c>
      <c r="I402" s="329">
        <v>0.22</v>
      </c>
      <c r="J402" s="329">
        <v>0.3</v>
      </c>
      <c r="K402" s="329"/>
      <c r="L402" s="329">
        <f>ROUND(G402*H402,4)</f>
        <v>20.06</v>
      </c>
      <c r="M402" s="329">
        <f>ROUND(G402*H402*I402,4)</f>
        <v>4.4132</v>
      </c>
      <c r="N402" s="329">
        <f>ROUND(G402*H402*I402*J402,4)</f>
        <v>1.324</v>
      </c>
      <c r="O402" s="329"/>
      <c r="P402" s="337"/>
      <c r="Q402" s="337"/>
      <c r="R402" s="337"/>
      <c r="S402" s="337"/>
      <c r="T402" s="337"/>
      <c r="U402" s="337"/>
      <c r="V402" s="337"/>
      <c r="W402" s="337"/>
      <c r="X402" s="339"/>
      <c r="Y402" s="339"/>
      <c r="Z402" s="339"/>
    </row>
    <row r="403" ht="16.5" customHeight="1" spans="1:26">
      <c r="A403" s="326"/>
      <c r="B403" s="327"/>
      <c r="C403" s="327"/>
      <c r="D403" s="330"/>
      <c r="E403" s="332" t="s">
        <v>286</v>
      </c>
      <c r="F403" s="330"/>
      <c r="G403" s="329">
        <v>4</v>
      </c>
      <c r="H403" s="329">
        <v>4.56</v>
      </c>
      <c r="I403" s="329">
        <v>0.22</v>
      </c>
      <c r="J403" s="329">
        <v>0.3</v>
      </c>
      <c r="K403" s="329"/>
      <c r="L403" s="329">
        <f>ROUND(G403*H403,4)</f>
        <v>18.24</v>
      </c>
      <c r="M403" s="329">
        <f>ROUND(G403*H403*I403,4)</f>
        <v>4.0128</v>
      </c>
      <c r="N403" s="329">
        <f>ROUND(G403*H403*I403*J403,4)</f>
        <v>1.2038</v>
      </c>
      <c r="O403" s="329"/>
      <c r="P403" s="337"/>
      <c r="Q403" s="337"/>
      <c r="R403" s="337"/>
      <c r="S403" s="337"/>
      <c r="T403" s="337"/>
      <c r="U403" s="337"/>
      <c r="V403" s="337"/>
      <c r="W403" s="337"/>
      <c r="X403" s="339"/>
      <c r="Y403" s="339"/>
      <c r="Z403" s="339"/>
    </row>
    <row r="404" ht="48.75" customHeight="1" spans="1:37">
      <c r="A404" s="326">
        <v>17</v>
      </c>
      <c r="B404" s="327" t="s">
        <v>399</v>
      </c>
      <c r="C404" s="327" t="s">
        <v>156</v>
      </c>
      <c r="D404" s="330" t="s">
        <v>399</v>
      </c>
      <c r="E404" s="331" t="s">
        <v>403</v>
      </c>
      <c r="F404" s="330" t="s">
        <v>55</v>
      </c>
      <c r="G404" s="329"/>
      <c r="H404" s="329"/>
      <c r="I404" s="329"/>
      <c r="J404" s="329"/>
      <c r="K404" s="329"/>
      <c r="L404" s="329">
        <f>ROUND(SUM(L405:L434),4)</f>
        <v>28.264</v>
      </c>
      <c r="M404" s="329">
        <f>ROUND(SUM(M405:M434),4)</f>
        <v>259.7611</v>
      </c>
      <c r="N404" s="329"/>
      <c r="O404" s="329">
        <f>ROUND(SUM(N404:N434),4)</f>
        <v>30.9134</v>
      </c>
      <c r="P404" s="337">
        <v>1161619</v>
      </c>
      <c r="Q404" s="337"/>
      <c r="R404" s="337">
        <v>554299</v>
      </c>
      <c r="S404" s="337">
        <v>161656</v>
      </c>
      <c r="T404" s="337">
        <f>ROUND(ROUND(O404,4)*P404,0)</f>
        <v>35909593</v>
      </c>
      <c r="U404" s="337">
        <f>ROUND(ROUND(O404,4)*Q404,0)</f>
        <v>0</v>
      </c>
      <c r="V404" s="337">
        <f>ROUND(ROUND(O404,4)*R404,0)</f>
        <v>17135267</v>
      </c>
      <c r="W404" s="337">
        <f>ROUND(ROUND(O404,4)*S404,0)</f>
        <v>4997337</v>
      </c>
      <c r="X404" s="339"/>
      <c r="Y404" s="339"/>
      <c r="Z404" s="339"/>
      <c r="AA404" s="325" t="s">
        <v>47</v>
      </c>
      <c r="AB404" s="325" t="s">
        <v>48</v>
      </c>
      <c r="AC404" s="324" t="s">
        <v>158</v>
      </c>
      <c r="AD404" s="324" t="s">
        <v>401</v>
      </c>
      <c r="AE404" s="324" t="s">
        <v>402</v>
      </c>
      <c r="AK404" s="325" t="s">
        <v>51</v>
      </c>
    </row>
    <row r="405" ht="16.5" customHeight="1" spans="1:26">
      <c r="A405" s="326"/>
      <c r="B405" s="327"/>
      <c r="C405" s="327"/>
      <c r="D405" s="330"/>
      <c r="E405" s="333" t="s">
        <v>292</v>
      </c>
      <c r="F405" s="330"/>
      <c r="G405" s="329"/>
      <c r="H405" s="329"/>
      <c r="I405" s="329"/>
      <c r="J405" s="329"/>
      <c r="K405" s="329"/>
      <c r="L405" s="329"/>
      <c r="M405" s="329"/>
      <c r="N405" s="329"/>
      <c r="O405" s="329"/>
      <c r="P405" s="337"/>
      <c r="Q405" s="337"/>
      <c r="R405" s="337"/>
      <c r="S405" s="337"/>
      <c r="T405" s="337"/>
      <c r="U405" s="337"/>
      <c r="V405" s="337"/>
      <c r="W405" s="337"/>
      <c r="X405" s="339"/>
      <c r="Y405" s="339"/>
      <c r="Z405" s="339"/>
    </row>
    <row r="406" ht="16.5" customHeight="1" spans="1:26">
      <c r="A406" s="326"/>
      <c r="B406" s="327"/>
      <c r="C406" s="327"/>
      <c r="D406" s="330"/>
      <c r="E406" s="332" t="s">
        <v>293</v>
      </c>
      <c r="F406" s="330"/>
      <c r="G406" s="329">
        <v>2</v>
      </c>
      <c r="H406" s="329">
        <v>0.255</v>
      </c>
      <c r="I406" s="329">
        <v>0.6</v>
      </c>
      <c r="J406" s="329">
        <v>0.1</v>
      </c>
      <c r="K406" s="329"/>
      <c r="L406" s="329">
        <f>ROUND(G406*H406,4)</f>
        <v>0.51</v>
      </c>
      <c r="M406" s="329">
        <f>ROUND(G406*H406*I406,4)</f>
        <v>0.306</v>
      </c>
      <c r="N406" s="329">
        <f>ROUND(G406*H406*I406*J406,4)</f>
        <v>0.0306</v>
      </c>
      <c r="O406" s="329"/>
      <c r="P406" s="337"/>
      <c r="Q406" s="337"/>
      <c r="R406" s="337"/>
      <c r="S406" s="337"/>
      <c r="T406" s="337"/>
      <c r="U406" s="337"/>
      <c r="V406" s="337"/>
      <c r="W406" s="337"/>
      <c r="X406" s="339"/>
      <c r="Y406" s="339"/>
      <c r="Z406" s="339"/>
    </row>
    <row r="407" ht="16.5" customHeight="1" spans="1:26">
      <c r="A407" s="326"/>
      <c r="B407" s="327"/>
      <c r="C407" s="327"/>
      <c r="D407" s="330"/>
      <c r="E407" s="332"/>
      <c r="F407" s="330"/>
      <c r="G407" s="329">
        <v>1</v>
      </c>
      <c r="H407" s="329">
        <v>4.05</v>
      </c>
      <c r="I407" s="329">
        <v>1.275</v>
      </c>
      <c r="J407" s="329">
        <v>0.1</v>
      </c>
      <c r="K407" s="329"/>
      <c r="L407" s="329">
        <f>ROUND(G407*H407,4)</f>
        <v>4.05</v>
      </c>
      <c r="M407" s="329">
        <f>ROUND(G407*H407*I407,4)</f>
        <v>5.1638</v>
      </c>
      <c r="N407" s="329">
        <f>ROUND(G407*H407*I407*J407,4)</f>
        <v>0.5164</v>
      </c>
      <c r="O407" s="329"/>
      <c r="P407" s="337"/>
      <c r="Q407" s="337"/>
      <c r="R407" s="337"/>
      <c r="S407" s="337"/>
      <c r="T407" s="337"/>
      <c r="U407" s="337"/>
      <c r="V407" s="337"/>
      <c r="W407" s="337"/>
      <c r="X407" s="339"/>
      <c r="Y407" s="339"/>
      <c r="Z407" s="339"/>
    </row>
    <row r="408" ht="16.5" customHeight="1" spans="1:26">
      <c r="A408" s="326"/>
      <c r="B408" s="327"/>
      <c r="C408" s="327"/>
      <c r="D408" s="330"/>
      <c r="E408" s="332" t="s">
        <v>294</v>
      </c>
      <c r="F408" s="330"/>
      <c r="G408" s="329">
        <v>1</v>
      </c>
      <c r="H408" s="329">
        <v>5</v>
      </c>
      <c r="I408" s="329">
        <v>11.4</v>
      </c>
      <c r="J408" s="329">
        <v>0.12</v>
      </c>
      <c r="K408" s="329"/>
      <c r="L408" s="329">
        <f>ROUND(G408*H408,4)</f>
        <v>5</v>
      </c>
      <c r="M408" s="329">
        <f>ROUND(G408*H408*I408,4)</f>
        <v>57</v>
      </c>
      <c r="N408" s="329">
        <f>ROUND(G408*H408*I408*J408,4)</f>
        <v>6.84</v>
      </c>
      <c r="O408" s="329"/>
      <c r="P408" s="337"/>
      <c r="Q408" s="337"/>
      <c r="R408" s="337"/>
      <c r="S408" s="337"/>
      <c r="T408" s="337"/>
      <c r="U408" s="337"/>
      <c r="V408" s="337"/>
      <c r="W408" s="337"/>
      <c r="X408" s="339"/>
      <c r="Y408" s="339"/>
      <c r="Z408" s="339"/>
    </row>
    <row r="409" ht="16.5" customHeight="1" spans="1:26">
      <c r="A409" s="326"/>
      <c r="B409" s="327"/>
      <c r="C409" s="327"/>
      <c r="D409" s="330"/>
      <c r="E409" s="332"/>
      <c r="F409" s="330"/>
      <c r="G409" s="329">
        <v>2</v>
      </c>
      <c r="H409" s="329">
        <v>0.22</v>
      </c>
      <c r="I409" s="329">
        <v>0.6</v>
      </c>
      <c r="J409" s="329">
        <v>0.12</v>
      </c>
      <c r="K409" s="329"/>
      <c r="L409" s="329">
        <f>ROUND(G409*H409,4)</f>
        <v>0.44</v>
      </c>
      <c r="M409" s="329">
        <f>ROUND(G409*H409*I409,4)</f>
        <v>0.264</v>
      </c>
      <c r="N409" s="329">
        <f>ROUND(G409*H409*I409*J409,4)</f>
        <v>0.0317</v>
      </c>
      <c r="O409" s="329"/>
      <c r="P409" s="337"/>
      <c r="Q409" s="337"/>
      <c r="R409" s="337"/>
      <c r="S409" s="337"/>
      <c r="T409" s="337"/>
      <c r="U409" s="337"/>
      <c r="V409" s="337"/>
      <c r="W409" s="337"/>
      <c r="X409" s="339"/>
      <c r="Y409" s="339"/>
      <c r="Z409" s="339"/>
    </row>
    <row r="410" ht="16.5" customHeight="1" spans="1:26">
      <c r="A410" s="326"/>
      <c r="B410" s="327"/>
      <c r="C410" s="327"/>
      <c r="D410" s="330"/>
      <c r="E410" s="332" t="s">
        <v>295</v>
      </c>
      <c r="F410" s="330"/>
      <c r="G410" s="329">
        <v>-1</v>
      </c>
      <c r="H410" s="329">
        <v>3</v>
      </c>
      <c r="I410" s="329">
        <v>2.26</v>
      </c>
      <c r="J410" s="329">
        <v>0.12</v>
      </c>
      <c r="K410" s="329"/>
      <c r="L410" s="329">
        <f>ROUND(G410*H410,4)</f>
        <v>-3</v>
      </c>
      <c r="M410" s="329">
        <f>ROUND(G410*H410*I410,4)</f>
        <v>-6.78</v>
      </c>
      <c r="N410" s="329">
        <f>ROUND(G410*H410*I410*J410,4)</f>
        <v>-0.8136</v>
      </c>
      <c r="O410" s="329"/>
      <c r="P410" s="337"/>
      <c r="Q410" s="337"/>
      <c r="R410" s="337"/>
      <c r="S410" s="337"/>
      <c r="T410" s="337"/>
      <c r="U410" s="337"/>
      <c r="V410" s="337"/>
      <c r="W410" s="337"/>
      <c r="X410" s="339"/>
      <c r="Y410" s="339"/>
      <c r="Z410" s="339"/>
    </row>
    <row r="411" ht="16.5" customHeight="1" spans="1:26">
      <c r="A411" s="326"/>
      <c r="B411" s="327"/>
      <c r="C411" s="327"/>
      <c r="D411" s="330"/>
      <c r="E411" s="333" t="s">
        <v>298</v>
      </c>
      <c r="F411" s="330"/>
      <c r="G411" s="329"/>
      <c r="H411" s="329"/>
      <c r="I411" s="329"/>
      <c r="J411" s="329"/>
      <c r="K411" s="329"/>
      <c r="L411" s="329"/>
      <c r="M411" s="329"/>
      <c r="N411" s="329"/>
      <c r="O411" s="329"/>
      <c r="P411" s="337"/>
      <c r="Q411" s="337"/>
      <c r="R411" s="337"/>
      <c r="S411" s="337"/>
      <c r="T411" s="337"/>
      <c r="U411" s="337"/>
      <c r="V411" s="337"/>
      <c r="W411" s="337"/>
      <c r="X411" s="339"/>
      <c r="Y411" s="339"/>
      <c r="Z411" s="339"/>
    </row>
    <row r="412" ht="16.5" customHeight="1" spans="1:26">
      <c r="A412" s="326"/>
      <c r="B412" s="327"/>
      <c r="C412" s="327"/>
      <c r="D412" s="330"/>
      <c r="E412" s="332" t="s">
        <v>293</v>
      </c>
      <c r="F412" s="330"/>
      <c r="G412" s="329">
        <v>2</v>
      </c>
      <c r="H412" s="329">
        <v>0.255</v>
      </c>
      <c r="I412" s="329">
        <v>0.11</v>
      </c>
      <c r="J412" s="329">
        <v>0.1</v>
      </c>
      <c r="K412" s="329"/>
      <c r="L412" s="329">
        <f t="shared" ref="L412:L417" si="26">ROUND(G412*H412,4)</f>
        <v>0.51</v>
      </c>
      <c r="M412" s="329">
        <f t="shared" ref="M412:M417" si="27">ROUND(G412*H412*I412,4)</f>
        <v>0.0561</v>
      </c>
      <c r="N412" s="329">
        <f t="shared" ref="N412:N417" si="28">ROUND(G412*H412*I412*J412,4)</f>
        <v>0.0056</v>
      </c>
      <c r="O412" s="329"/>
      <c r="P412" s="337"/>
      <c r="Q412" s="337"/>
      <c r="R412" s="337"/>
      <c r="S412" s="337"/>
      <c r="T412" s="337"/>
      <c r="U412" s="337"/>
      <c r="V412" s="337"/>
      <c r="W412" s="337"/>
      <c r="X412" s="339"/>
      <c r="Y412" s="339"/>
      <c r="Z412" s="339"/>
    </row>
    <row r="413" ht="16.5" customHeight="1" spans="1:26">
      <c r="A413" s="326"/>
      <c r="B413" s="327"/>
      <c r="C413" s="327"/>
      <c r="D413" s="330"/>
      <c r="E413" s="332"/>
      <c r="F413" s="330"/>
      <c r="G413" s="329">
        <v>2</v>
      </c>
      <c r="H413" s="329">
        <v>1.05</v>
      </c>
      <c r="I413" s="329">
        <v>0.22</v>
      </c>
      <c r="J413" s="329">
        <v>0.1</v>
      </c>
      <c r="K413" s="329"/>
      <c r="L413" s="329">
        <f t="shared" si="26"/>
        <v>2.1</v>
      </c>
      <c r="M413" s="329">
        <f t="shared" si="27"/>
        <v>0.462</v>
      </c>
      <c r="N413" s="329">
        <f t="shared" si="28"/>
        <v>0.0462</v>
      </c>
      <c r="O413" s="329"/>
      <c r="P413" s="337"/>
      <c r="Q413" s="337"/>
      <c r="R413" s="337"/>
      <c r="S413" s="337"/>
      <c r="T413" s="337"/>
      <c r="U413" s="337"/>
      <c r="V413" s="337"/>
      <c r="W413" s="337"/>
      <c r="X413" s="339"/>
      <c r="Y413" s="339"/>
      <c r="Z413" s="339"/>
    </row>
    <row r="414" ht="16.5" customHeight="1" spans="1:26">
      <c r="A414" s="326"/>
      <c r="B414" s="327"/>
      <c r="C414" s="327"/>
      <c r="D414" s="330"/>
      <c r="E414" s="332"/>
      <c r="F414" s="330"/>
      <c r="G414" s="329">
        <v>1</v>
      </c>
      <c r="H414" s="329">
        <v>1.95</v>
      </c>
      <c r="I414" s="329">
        <v>0.885</v>
      </c>
      <c r="J414" s="329">
        <v>0.1</v>
      </c>
      <c r="K414" s="329"/>
      <c r="L414" s="329">
        <f t="shared" si="26"/>
        <v>1.95</v>
      </c>
      <c r="M414" s="329">
        <f t="shared" si="27"/>
        <v>1.7258</v>
      </c>
      <c r="N414" s="329">
        <f t="shared" si="28"/>
        <v>0.1726</v>
      </c>
      <c r="O414" s="329"/>
      <c r="P414" s="337"/>
      <c r="Q414" s="337"/>
      <c r="R414" s="337"/>
      <c r="S414" s="337"/>
      <c r="T414" s="337"/>
      <c r="U414" s="337"/>
      <c r="V414" s="337"/>
      <c r="W414" s="337"/>
      <c r="X414" s="339"/>
      <c r="Y414" s="339"/>
      <c r="Z414" s="339"/>
    </row>
    <row r="415" ht="16.5" customHeight="1" spans="1:26">
      <c r="A415" s="326"/>
      <c r="B415" s="327"/>
      <c r="C415" s="327"/>
      <c r="D415" s="330"/>
      <c r="E415" s="332" t="s">
        <v>294</v>
      </c>
      <c r="F415" s="330"/>
      <c r="G415" s="329">
        <v>1</v>
      </c>
      <c r="H415" s="329">
        <v>5</v>
      </c>
      <c r="I415" s="329">
        <v>11.89</v>
      </c>
      <c r="J415" s="329">
        <v>0.12</v>
      </c>
      <c r="K415" s="329"/>
      <c r="L415" s="329">
        <f t="shared" si="26"/>
        <v>5</v>
      </c>
      <c r="M415" s="329">
        <f t="shared" si="27"/>
        <v>59.45</v>
      </c>
      <c r="N415" s="329">
        <f t="shared" si="28"/>
        <v>7.134</v>
      </c>
      <c r="O415" s="329"/>
      <c r="P415" s="337"/>
      <c r="Q415" s="337"/>
      <c r="R415" s="337"/>
      <c r="S415" s="337"/>
      <c r="T415" s="337"/>
      <c r="U415" s="337"/>
      <c r="V415" s="337"/>
      <c r="W415" s="337"/>
      <c r="X415" s="339"/>
      <c r="Y415" s="339"/>
      <c r="Z415" s="339"/>
    </row>
    <row r="416" ht="16.5" customHeight="1" spans="1:26">
      <c r="A416" s="326"/>
      <c r="B416" s="327"/>
      <c r="C416" s="327"/>
      <c r="D416" s="330"/>
      <c r="E416" s="332"/>
      <c r="F416" s="330"/>
      <c r="G416" s="329">
        <v>2</v>
      </c>
      <c r="H416" s="329">
        <v>0.22</v>
      </c>
      <c r="I416" s="329">
        <v>0.11</v>
      </c>
      <c r="J416" s="329">
        <v>0.12</v>
      </c>
      <c r="K416" s="329"/>
      <c r="L416" s="329">
        <f t="shared" si="26"/>
        <v>0.44</v>
      </c>
      <c r="M416" s="329">
        <f t="shared" si="27"/>
        <v>0.0484</v>
      </c>
      <c r="N416" s="329">
        <f t="shared" si="28"/>
        <v>0.0058</v>
      </c>
      <c r="O416" s="329"/>
      <c r="P416" s="337"/>
      <c r="Q416" s="337"/>
      <c r="R416" s="337"/>
      <c r="S416" s="337"/>
      <c r="T416" s="337"/>
      <c r="U416" s="337"/>
      <c r="V416" s="337"/>
      <c r="W416" s="337"/>
      <c r="X416" s="339"/>
      <c r="Y416" s="339"/>
      <c r="Z416" s="339"/>
    </row>
    <row r="417" ht="16.5" customHeight="1" spans="1:26">
      <c r="A417" s="326"/>
      <c r="B417" s="327"/>
      <c r="C417" s="327"/>
      <c r="D417" s="330"/>
      <c r="E417" s="332" t="s">
        <v>295</v>
      </c>
      <c r="F417" s="330"/>
      <c r="G417" s="329">
        <v>-1</v>
      </c>
      <c r="H417" s="329">
        <v>3</v>
      </c>
      <c r="I417" s="329">
        <v>2.26</v>
      </c>
      <c r="J417" s="329">
        <v>0.12</v>
      </c>
      <c r="K417" s="329"/>
      <c r="L417" s="329">
        <f t="shared" si="26"/>
        <v>-3</v>
      </c>
      <c r="M417" s="329">
        <f t="shared" si="27"/>
        <v>-6.78</v>
      </c>
      <c r="N417" s="329">
        <f t="shared" si="28"/>
        <v>-0.8136</v>
      </c>
      <c r="O417" s="329"/>
      <c r="P417" s="337"/>
      <c r="Q417" s="337"/>
      <c r="R417" s="337"/>
      <c r="S417" s="337"/>
      <c r="T417" s="337"/>
      <c r="U417" s="337"/>
      <c r="V417" s="337"/>
      <c r="W417" s="337"/>
      <c r="X417" s="339"/>
      <c r="Y417" s="339"/>
      <c r="Z417" s="339"/>
    </row>
    <row r="418" ht="16.5" customHeight="1" spans="1:26">
      <c r="A418" s="326"/>
      <c r="B418" s="327"/>
      <c r="C418" s="327"/>
      <c r="D418" s="330"/>
      <c r="E418" s="333" t="s">
        <v>299</v>
      </c>
      <c r="F418" s="330"/>
      <c r="G418" s="329"/>
      <c r="H418" s="329"/>
      <c r="I418" s="329"/>
      <c r="J418" s="329"/>
      <c r="K418" s="329"/>
      <c r="L418" s="329"/>
      <c r="M418" s="329"/>
      <c r="N418" s="329"/>
      <c r="O418" s="329"/>
      <c r="P418" s="337"/>
      <c r="Q418" s="337"/>
      <c r="R418" s="337"/>
      <c r="S418" s="337"/>
      <c r="T418" s="337"/>
      <c r="U418" s="337"/>
      <c r="V418" s="337"/>
      <c r="W418" s="337"/>
      <c r="X418" s="339"/>
      <c r="Y418" s="339"/>
      <c r="Z418" s="339"/>
    </row>
    <row r="419" ht="16.5" customHeight="1" spans="1:26">
      <c r="A419" s="326"/>
      <c r="B419" s="327"/>
      <c r="C419" s="327"/>
      <c r="D419" s="330"/>
      <c r="E419" s="333" t="s">
        <v>293</v>
      </c>
      <c r="F419" s="330"/>
      <c r="G419" s="329"/>
      <c r="H419" s="329"/>
      <c r="I419" s="329"/>
      <c r="J419" s="329"/>
      <c r="K419" s="329"/>
      <c r="L419" s="329"/>
      <c r="M419" s="329"/>
      <c r="N419" s="329"/>
      <c r="O419" s="329"/>
      <c r="P419" s="337"/>
      <c r="Q419" s="337"/>
      <c r="R419" s="337"/>
      <c r="S419" s="337"/>
      <c r="T419" s="337"/>
      <c r="U419" s="337"/>
      <c r="V419" s="337"/>
      <c r="W419" s="337"/>
      <c r="X419" s="339"/>
      <c r="Y419" s="339"/>
      <c r="Z419" s="339"/>
    </row>
    <row r="420" ht="16.5" customHeight="1" spans="1:26">
      <c r="A420" s="326"/>
      <c r="B420" s="327"/>
      <c r="C420" s="327"/>
      <c r="D420" s="330"/>
      <c r="E420" s="332"/>
      <c r="F420" s="330"/>
      <c r="G420" s="329">
        <v>2</v>
      </c>
      <c r="H420" s="329">
        <v>1.05</v>
      </c>
      <c r="I420" s="329">
        <v>0.22</v>
      </c>
      <c r="J420" s="329">
        <v>0.1</v>
      </c>
      <c r="K420" s="329"/>
      <c r="L420" s="329">
        <f>ROUND(G420*H420,4)</f>
        <v>2.1</v>
      </c>
      <c r="M420" s="329">
        <f>ROUND(G420*H420*I420,4)</f>
        <v>0.462</v>
      </c>
      <c r="N420" s="329">
        <f>ROUND(G420*H420*I420*J420,4)</f>
        <v>0.0462</v>
      </c>
      <c r="O420" s="329"/>
      <c r="P420" s="337"/>
      <c r="Q420" s="337"/>
      <c r="R420" s="337"/>
      <c r="S420" s="337"/>
      <c r="T420" s="337"/>
      <c r="U420" s="337"/>
      <c r="V420" s="337"/>
      <c r="W420" s="337"/>
      <c r="X420" s="339"/>
      <c r="Y420" s="339"/>
      <c r="Z420" s="339"/>
    </row>
    <row r="421" ht="16.5" customHeight="1" spans="1:26">
      <c r="A421" s="326"/>
      <c r="B421" s="327"/>
      <c r="C421" s="327"/>
      <c r="D421" s="330"/>
      <c r="E421" s="332"/>
      <c r="F421" s="330"/>
      <c r="G421" s="329">
        <v>1</v>
      </c>
      <c r="H421" s="329">
        <v>1.95</v>
      </c>
      <c r="I421" s="329">
        <v>0.885</v>
      </c>
      <c r="J421" s="329">
        <v>0.1</v>
      </c>
      <c r="K421" s="329"/>
      <c r="L421" s="329">
        <f>ROUND(G421*H421,4)</f>
        <v>1.95</v>
      </c>
      <c r="M421" s="329">
        <f>ROUND(G421*H421*I421,4)</f>
        <v>1.7258</v>
      </c>
      <c r="N421" s="329">
        <f>ROUND(G421*H421*I421*J421,4)</f>
        <v>0.1726</v>
      </c>
      <c r="O421" s="329"/>
      <c r="P421" s="337"/>
      <c r="Q421" s="337"/>
      <c r="R421" s="337"/>
      <c r="S421" s="337"/>
      <c r="T421" s="337"/>
      <c r="U421" s="337"/>
      <c r="V421" s="337"/>
      <c r="W421" s="337"/>
      <c r="X421" s="339"/>
      <c r="Y421" s="339"/>
      <c r="Z421" s="339"/>
    </row>
    <row r="422" ht="16.5" customHeight="1" spans="1:26">
      <c r="A422" s="326"/>
      <c r="B422" s="327"/>
      <c r="C422" s="327"/>
      <c r="D422" s="330"/>
      <c r="E422" s="332" t="s">
        <v>294</v>
      </c>
      <c r="F422" s="330"/>
      <c r="G422" s="329">
        <v>1</v>
      </c>
      <c r="H422" s="329">
        <v>5</v>
      </c>
      <c r="I422" s="329">
        <v>11.89</v>
      </c>
      <c r="J422" s="329">
        <v>0.12</v>
      </c>
      <c r="K422" s="329"/>
      <c r="L422" s="329">
        <f>ROUND(G422*H422,4)</f>
        <v>5</v>
      </c>
      <c r="M422" s="329">
        <f>ROUND(G422*H422*I422,4)</f>
        <v>59.45</v>
      </c>
      <c r="N422" s="329">
        <f>ROUND(G422*H422*I422*J422,4)</f>
        <v>7.134</v>
      </c>
      <c r="O422" s="329"/>
      <c r="P422" s="337"/>
      <c r="Q422" s="337"/>
      <c r="R422" s="337"/>
      <c r="S422" s="337"/>
      <c r="T422" s="337"/>
      <c r="U422" s="337"/>
      <c r="V422" s="337"/>
      <c r="W422" s="337"/>
      <c r="X422" s="339"/>
      <c r="Y422" s="339"/>
      <c r="Z422" s="339"/>
    </row>
    <row r="423" ht="16.5" customHeight="1" spans="1:26">
      <c r="A423" s="326"/>
      <c r="B423" s="327"/>
      <c r="C423" s="327"/>
      <c r="D423" s="330"/>
      <c r="E423" s="332"/>
      <c r="F423" s="330"/>
      <c r="G423" s="329">
        <v>2</v>
      </c>
      <c r="H423" s="329">
        <v>0.22</v>
      </c>
      <c r="I423" s="329">
        <v>0.11</v>
      </c>
      <c r="J423" s="329">
        <v>0.12</v>
      </c>
      <c r="K423" s="329"/>
      <c r="L423" s="329">
        <f>ROUND(G423*H423,4)</f>
        <v>0.44</v>
      </c>
      <c r="M423" s="329">
        <f>ROUND(G423*H423*I423,4)</f>
        <v>0.0484</v>
      </c>
      <c r="N423" s="329">
        <f>ROUND(G423*H423*I423*J423,4)</f>
        <v>0.0058</v>
      </c>
      <c r="O423" s="329"/>
      <c r="P423" s="337"/>
      <c r="Q423" s="337"/>
      <c r="R423" s="337"/>
      <c r="S423" s="337"/>
      <c r="T423" s="337"/>
      <c r="U423" s="337"/>
      <c r="V423" s="337"/>
      <c r="W423" s="337"/>
      <c r="X423" s="339"/>
      <c r="Y423" s="339"/>
      <c r="Z423" s="339"/>
    </row>
    <row r="424" ht="16.5" customHeight="1" spans="1:26">
      <c r="A424" s="326"/>
      <c r="B424" s="327"/>
      <c r="C424" s="327"/>
      <c r="D424" s="330"/>
      <c r="E424" s="332" t="s">
        <v>295</v>
      </c>
      <c r="F424" s="330"/>
      <c r="G424" s="329">
        <v>-1</v>
      </c>
      <c r="H424" s="329">
        <v>3</v>
      </c>
      <c r="I424" s="329">
        <v>2.26</v>
      </c>
      <c r="J424" s="329">
        <v>0.12</v>
      </c>
      <c r="K424" s="329"/>
      <c r="L424" s="329">
        <f>ROUND(G424*H424,4)</f>
        <v>-3</v>
      </c>
      <c r="M424" s="329">
        <f>ROUND(G424*H424*I424,4)</f>
        <v>-6.78</v>
      </c>
      <c r="N424" s="329">
        <f>ROUND(G424*H424*I424*J424,4)</f>
        <v>-0.8136</v>
      </c>
      <c r="O424" s="329"/>
      <c r="P424" s="337"/>
      <c r="Q424" s="337"/>
      <c r="R424" s="337"/>
      <c r="S424" s="337"/>
      <c r="T424" s="337"/>
      <c r="U424" s="337"/>
      <c r="V424" s="337"/>
      <c r="W424" s="337"/>
      <c r="X424" s="339"/>
      <c r="Y424" s="339"/>
      <c r="Z424" s="339"/>
    </row>
    <row r="425" ht="16.5" customHeight="1" spans="1:26">
      <c r="A425" s="326"/>
      <c r="B425" s="327"/>
      <c r="C425" s="327"/>
      <c r="D425" s="330"/>
      <c r="E425" s="333" t="s">
        <v>300</v>
      </c>
      <c r="F425" s="330"/>
      <c r="G425" s="329"/>
      <c r="H425" s="329"/>
      <c r="I425" s="329"/>
      <c r="J425" s="329"/>
      <c r="K425" s="329"/>
      <c r="L425" s="329"/>
      <c r="M425" s="329"/>
      <c r="N425" s="329"/>
      <c r="O425" s="329"/>
      <c r="P425" s="337"/>
      <c r="Q425" s="337"/>
      <c r="R425" s="337"/>
      <c r="S425" s="337"/>
      <c r="T425" s="337"/>
      <c r="U425" s="337"/>
      <c r="V425" s="337"/>
      <c r="W425" s="337"/>
      <c r="X425" s="339"/>
      <c r="Y425" s="339"/>
      <c r="Z425" s="339"/>
    </row>
    <row r="426" ht="16.5" customHeight="1" spans="1:26">
      <c r="A426" s="326"/>
      <c r="B426" s="327"/>
      <c r="C426" s="327"/>
      <c r="D426" s="330"/>
      <c r="E426" s="332" t="s">
        <v>293</v>
      </c>
      <c r="F426" s="330"/>
      <c r="G426" s="329">
        <v>2</v>
      </c>
      <c r="H426" s="329">
        <v>0.4</v>
      </c>
      <c r="I426" s="329">
        <v>0.22</v>
      </c>
      <c r="J426" s="329">
        <v>0.1</v>
      </c>
      <c r="K426" s="329"/>
      <c r="L426" s="329">
        <f t="shared" ref="L426:L431" si="29">ROUND(G426*H426,4)</f>
        <v>0.8</v>
      </c>
      <c r="M426" s="329">
        <f t="shared" ref="M426:M431" si="30">ROUND(G426*H426*I426,4)</f>
        <v>0.176</v>
      </c>
      <c r="N426" s="329">
        <f t="shared" ref="N426:N431" si="31">ROUND(G426*H426*I426*J426,4)</f>
        <v>0.0176</v>
      </c>
      <c r="O426" s="329"/>
      <c r="P426" s="337"/>
      <c r="Q426" s="337"/>
      <c r="R426" s="337"/>
      <c r="S426" s="337"/>
      <c r="T426" s="337"/>
      <c r="U426" s="337"/>
      <c r="V426" s="337"/>
      <c r="W426" s="337"/>
      <c r="X426" s="339"/>
      <c r="Y426" s="339"/>
      <c r="Z426" s="339"/>
    </row>
    <row r="427" ht="16.5" customHeight="1" spans="1:26">
      <c r="A427" s="326"/>
      <c r="B427" s="327"/>
      <c r="C427" s="327"/>
      <c r="D427" s="330"/>
      <c r="E427" s="332"/>
      <c r="F427" s="330"/>
      <c r="G427" s="329">
        <v>2</v>
      </c>
      <c r="H427" s="329">
        <v>1.072</v>
      </c>
      <c r="I427" s="329">
        <v>0.51</v>
      </c>
      <c r="J427" s="329">
        <v>0.1</v>
      </c>
      <c r="K427" s="329"/>
      <c r="L427" s="329">
        <f t="shared" si="29"/>
        <v>2.144</v>
      </c>
      <c r="M427" s="329">
        <f t="shared" si="30"/>
        <v>1.0934</v>
      </c>
      <c r="N427" s="329">
        <f t="shared" si="31"/>
        <v>0.1093</v>
      </c>
      <c r="O427" s="329"/>
      <c r="P427" s="337"/>
      <c r="Q427" s="337"/>
      <c r="R427" s="337"/>
      <c r="S427" s="337"/>
      <c r="T427" s="337"/>
      <c r="U427" s="337"/>
      <c r="V427" s="337"/>
      <c r="W427" s="337"/>
      <c r="X427" s="339"/>
      <c r="Y427" s="339"/>
      <c r="Z427" s="339"/>
    </row>
    <row r="428" ht="16.5" customHeight="1" spans="1:26">
      <c r="A428" s="326"/>
      <c r="B428" s="327"/>
      <c r="C428" s="327"/>
      <c r="D428" s="330"/>
      <c r="E428" s="332"/>
      <c r="F428" s="330"/>
      <c r="G428" s="329">
        <v>1</v>
      </c>
      <c r="H428" s="329">
        <v>1.95</v>
      </c>
      <c r="I428" s="329">
        <v>0.885</v>
      </c>
      <c r="J428" s="329">
        <v>0.1</v>
      </c>
      <c r="K428" s="329"/>
      <c r="L428" s="329">
        <f t="shared" si="29"/>
        <v>1.95</v>
      </c>
      <c r="M428" s="329">
        <f t="shared" si="30"/>
        <v>1.7258</v>
      </c>
      <c r="N428" s="329">
        <f t="shared" si="31"/>
        <v>0.1726</v>
      </c>
      <c r="O428" s="329"/>
      <c r="P428" s="337"/>
      <c r="Q428" s="337"/>
      <c r="R428" s="337"/>
      <c r="S428" s="337"/>
      <c r="T428" s="337"/>
      <c r="U428" s="337"/>
      <c r="V428" s="337"/>
      <c r="W428" s="337"/>
      <c r="X428" s="339"/>
      <c r="Y428" s="339"/>
      <c r="Z428" s="339"/>
    </row>
    <row r="429" ht="16.5" customHeight="1" spans="1:26">
      <c r="A429" s="326"/>
      <c r="B429" s="327"/>
      <c r="C429" s="327"/>
      <c r="D429" s="330"/>
      <c r="E429" s="332" t="s">
        <v>294</v>
      </c>
      <c r="F429" s="330"/>
      <c r="G429" s="329">
        <v>1</v>
      </c>
      <c r="H429" s="329">
        <v>5</v>
      </c>
      <c r="I429" s="329">
        <v>11.89</v>
      </c>
      <c r="J429" s="329">
        <v>0.12</v>
      </c>
      <c r="K429" s="329"/>
      <c r="L429" s="329">
        <f t="shared" si="29"/>
        <v>5</v>
      </c>
      <c r="M429" s="329">
        <f t="shared" si="30"/>
        <v>59.45</v>
      </c>
      <c r="N429" s="329">
        <f t="shared" si="31"/>
        <v>7.134</v>
      </c>
      <c r="O429" s="329"/>
      <c r="P429" s="337"/>
      <c r="Q429" s="337"/>
      <c r="R429" s="337"/>
      <c r="S429" s="337"/>
      <c r="T429" s="337"/>
      <c r="U429" s="337"/>
      <c r="V429" s="337"/>
      <c r="W429" s="337"/>
      <c r="X429" s="339"/>
      <c r="Y429" s="339"/>
      <c r="Z429" s="339"/>
    </row>
    <row r="430" ht="16.5" customHeight="1" spans="1:26">
      <c r="A430" s="326"/>
      <c r="B430" s="327"/>
      <c r="C430" s="327"/>
      <c r="D430" s="330"/>
      <c r="E430" s="332"/>
      <c r="F430" s="330"/>
      <c r="G430" s="329">
        <v>2</v>
      </c>
      <c r="H430" s="329">
        <v>0.22</v>
      </c>
      <c r="I430" s="329">
        <v>0.11</v>
      </c>
      <c r="J430" s="329">
        <v>0.12</v>
      </c>
      <c r="K430" s="329"/>
      <c r="L430" s="329">
        <f t="shared" si="29"/>
        <v>0.44</v>
      </c>
      <c r="M430" s="329">
        <f t="shared" si="30"/>
        <v>0.0484</v>
      </c>
      <c r="N430" s="329">
        <f t="shared" si="31"/>
        <v>0.0058</v>
      </c>
      <c r="O430" s="329"/>
      <c r="P430" s="337"/>
      <c r="Q430" s="337"/>
      <c r="R430" s="337"/>
      <c r="S430" s="337"/>
      <c r="T430" s="337"/>
      <c r="U430" s="337"/>
      <c r="V430" s="337"/>
      <c r="W430" s="337"/>
      <c r="X430" s="339"/>
      <c r="Y430" s="339"/>
      <c r="Z430" s="339"/>
    </row>
    <row r="431" ht="16.5" customHeight="1" spans="1:26">
      <c r="A431" s="326"/>
      <c r="B431" s="327"/>
      <c r="C431" s="327"/>
      <c r="D431" s="330"/>
      <c r="E431" s="332" t="s">
        <v>295</v>
      </c>
      <c r="F431" s="330"/>
      <c r="G431" s="329">
        <v>-1</v>
      </c>
      <c r="H431" s="329">
        <v>3</v>
      </c>
      <c r="I431" s="329">
        <v>2.26</v>
      </c>
      <c r="J431" s="329">
        <v>0.12</v>
      </c>
      <c r="K431" s="329"/>
      <c r="L431" s="329">
        <f t="shared" si="29"/>
        <v>-3</v>
      </c>
      <c r="M431" s="329">
        <f t="shared" si="30"/>
        <v>-6.78</v>
      </c>
      <c r="N431" s="329">
        <f t="shared" si="31"/>
        <v>-0.8136</v>
      </c>
      <c r="O431" s="329"/>
      <c r="P431" s="337"/>
      <c r="Q431" s="337"/>
      <c r="R431" s="337"/>
      <c r="S431" s="337"/>
      <c r="T431" s="337"/>
      <c r="U431" s="337"/>
      <c r="V431" s="337"/>
      <c r="W431" s="337"/>
      <c r="X431" s="339"/>
      <c r="Y431" s="339"/>
      <c r="Z431" s="339"/>
    </row>
    <row r="432" ht="16.5" customHeight="1" spans="1:26">
      <c r="A432" s="326"/>
      <c r="B432" s="327"/>
      <c r="C432" s="327"/>
      <c r="D432" s="330"/>
      <c r="E432" s="333" t="s">
        <v>301</v>
      </c>
      <c r="F432" s="330"/>
      <c r="G432" s="329"/>
      <c r="H432" s="329"/>
      <c r="I432" s="329"/>
      <c r="J432" s="329"/>
      <c r="K432" s="329"/>
      <c r="L432" s="329"/>
      <c r="M432" s="329"/>
      <c r="N432" s="329"/>
      <c r="O432" s="329"/>
      <c r="P432" s="337"/>
      <c r="Q432" s="337"/>
      <c r="R432" s="337"/>
      <c r="S432" s="337"/>
      <c r="T432" s="337"/>
      <c r="U432" s="337"/>
      <c r="V432" s="337"/>
      <c r="W432" s="337"/>
      <c r="X432" s="339"/>
      <c r="Y432" s="339"/>
      <c r="Z432" s="339"/>
    </row>
    <row r="433" ht="16.5" customHeight="1" spans="1:26">
      <c r="A433" s="326"/>
      <c r="B433" s="327"/>
      <c r="C433" s="327"/>
      <c r="D433" s="330"/>
      <c r="E433" s="332" t="s">
        <v>294</v>
      </c>
      <c r="F433" s="330"/>
      <c r="G433" s="329">
        <v>1</v>
      </c>
      <c r="H433" s="329">
        <v>5</v>
      </c>
      <c r="I433" s="329">
        <v>10.91</v>
      </c>
      <c r="J433" s="329">
        <v>0.12</v>
      </c>
      <c r="K433" s="329"/>
      <c r="L433" s="329">
        <f>ROUND(G433*H433,4)</f>
        <v>5</v>
      </c>
      <c r="M433" s="329">
        <f>ROUND(G433*H433*I433,4)</f>
        <v>54.55</v>
      </c>
      <c r="N433" s="329">
        <f>ROUND(G433*H433*I433*J433,4)</f>
        <v>6.546</v>
      </c>
      <c r="O433" s="329"/>
      <c r="P433" s="337"/>
      <c r="Q433" s="337"/>
      <c r="R433" s="337"/>
      <c r="S433" s="337"/>
      <c r="T433" s="337"/>
      <c r="U433" s="337"/>
      <c r="V433" s="337"/>
      <c r="W433" s="337"/>
      <c r="X433" s="339"/>
      <c r="Y433" s="339"/>
      <c r="Z433" s="339"/>
    </row>
    <row r="434" ht="16.5" customHeight="1" spans="1:26">
      <c r="A434" s="326"/>
      <c r="B434" s="327"/>
      <c r="C434" s="327"/>
      <c r="D434" s="330"/>
      <c r="E434" s="332" t="s">
        <v>302</v>
      </c>
      <c r="F434" s="330"/>
      <c r="G434" s="329">
        <v>-1</v>
      </c>
      <c r="H434" s="329">
        <v>4.56</v>
      </c>
      <c r="I434" s="329">
        <v>3.58</v>
      </c>
      <c r="J434" s="329">
        <v>0.12</v>
      </c>
      <c r="K434" s="329"/>
      <c r="L434" s="329">
        <f>ROUND(G434*H434,4)</f>
        <v>-4.56</v>
      </c>
      <c r="M434" s="329">
        <f>ROUND(G434*H434*I434,4)</f>
        <v>-16.3248</v>
      </c>
      <c r="N434" s="329">
        <f>ROUND(G434*H434*I434*J434,4)</f>
        <v>-1.959</v>
      </c>
      <c r="O434" s="329"/>
      <c r="P434" s="337"/>
      <c r="Q434" s="337"/>
      <c r="R434" s="337"/>
      <c r="S434" s="337"/>
      <c r="T434" s="337"/>
      <c r="U434" s="337"/>
      <c r="V434" s="337"/>
      <c r="W434" s="337"/>
      <c r="X434" s="339"/>
      <c r="Y434" s="339"/>
      <c r="Z434" s="339"/>
    </row>
    <row r="435" ht="48.75" customHeight="1" spans="1:37">
      <c r="A435" s="326">
        <v>18</v>
      </c>
      <c r="B435" s="327" t="s">
        <v>404</v>
      </c>
      <c r="C435" s="327" t="s">
        <v>156</v>
      </c>
      <c r="D435" s="330" t="s">
        <v>404</v>
      </c>
      <c r="E435" s="331" t="s">
        <v>405</v>
      </c>
      <c r="F435" s="330" t="s">
        <v>55</v>
      </c>
      <c r="G435" s="329"/>
      <c r="H435" s="329"/>
      <c r="I435" s="329"/>
      <c r="J435" s="329"/>
      <c r="K435" s="329"/>
      <c r="L435" s="329">
        <f>ROUND(SUM(L436:L443),4)</f>
        <v>8.955</v>
      </c>
      <c r="M435" s="329">
        <f>ROUND(SUM(M436:M443),4)</f>
        <v>17.1688</v>
      </c>
      <c r="N435" s="329"/>
      <c r="O435" s="329">
        <f>ROUND(SUM(N435:N443),4)</f>
        <v>1.7317</v>
      </c>
      <c r="P435" s="337">
        <v>1279602</v>
      </c>
      <c r="Q435" s="337"/>
      <c r="R435" s="337">
        <v>697204</v>
      </c>
      <c r="S435" s="337">
        <v>161656</v>
      </c>
      <c r="T435" s="337">
        <f>ROUND(ROUND(O435,4)*P435,0)</f>
        <v>2215887</v>
      </c>
      <c r="U435" s="337">
        <f>ROUND(ROUND(O435,4)*Q435,0)</f>
        <v>0</v>
      </c>
      <c r="V435" s="337">
        <f>ROUND(ROUND(O435,4)*R435,0)</f>
        <v>1207348</v>
      </c>
      <c r="W435" s="337">
        <f>ROUND(ROUND(O435,4)*S435,0)</f>
        <v>279940</v>
      </c>
      <c r="X435" s="339"/>
      <c r="Y435" s="339"/>
      <c r="Z435" s="339"/>
      <c r="AA435" s="325" t="s">
        <v>47</v>
      </c>
      <c r="AB435" s="325" t="s">
        <v>48</v>
      </c>
      <c r="AC435" s="324" t="s">
        <v>406</v>
      </c>
      <c r="AD435" s="324" t="s">
        <v>407</v>
      </c>
      <c r="AE435" s="324" t="s">
        <v>402</v>
      </c>
      <c r="AK435" s="325" t="s">
        <v>51</v>
      </c>
    </row>
    <row r="436" ht="16.5" customHeight="1" spans="1:26">
      <c r="A436" s="326"/>
      <c r="B436" s="327"/>
      <c r="C436" s="327"/>
      <c r="D436" s="330"/>
      <c r="E436" s="333" t="s">
        <v>308</v>
      </c>
      <c r="F436" s="330"/>
      <c r="G436" s="329"/>
      <c r="H436" s="329"/>
      <c r="I436" s="329"/>
      <c r="J436" s="329"/>
      <c r="K436" s="329"/>
      <c r="L436" s="329"/>
      <c r="M436" s="329"/>
      <c r="N436" s="329"/>
      <c r="O436" s="329"/>
      <c r="P436" s="337"/>
      <c r="Q436" s="337"/>
      <c r="R436" s="337"/>
      <c r="S436" s="337"/>
      <c r="T436" s="337"/>
      <c r="U436" s="337"/>
      <c r="V436" s="337"/>
      <c r="W436" s="337"/>
      <c r="X436" s="339"/>
      <c r="Y436" s="339"/>
      <c r="Z436" s="339"/>
    </row>
    <row r="437" ht="16.5" customHeight="1" spans="1:26">
      <c r="A437" s="326"/>
      <c r="B437" s="327"/>
      <c r="C437" s="327"/>
      <c r="D437" s="330"/>
      <c r="E437" s="332" t="s">
        <v>309</v>
      </c>
      <c r="F437" s="330"/>
      <c r="G437" s="329">
        <v>2</v>
      </c>
      <c r="H437" s="329">
        <v>1.895</v>
      </c>
      <c r="I437" s="329">
        <f>(0.74+0.11)/2</f>
        <v>0.425</v>
      </c>
      <c r="J437" s="329">
        <v>0.1</v>
      </c>
      <c r="K437" s="329"/>
      <c r="L437" s="329">
        <f t="shared" ref="L437:L443" si="32">ROUND(G437*H437,4)</f>
        <v>3.79</v>
      </c>
      <c r="M437" s="329">
        <f t="shared" ref="M437:M443" si="33">ROUND(G437*H437*I437,4)</f>
        <v>1.6108</v>
      </c>
      <c r="N437" s="329">
        <f t="shared" ref="N437:N443" si="34">ROUND(G437*H437*I437*J437,4)</f>
        <v>0.1611</v>
      </c>
      <c r="O437" s="329"/>
      <c r="P437" s="337"/>
      <c r="Q437" s="337"/>
      <c r="R437" s="337"/>
      <c r="S437" s="337"/>
      <c r="T437" s="337"/>
      <c r="U437" s="337"/>
      <c r="V437" s="337"/>
      <c r="W437" s="337"/>
      <c r="X437" s="339"/>
      <c r="Y437" s="339"/>
      <c r="Z437" s="339"/>
    </row>
    <row r="438" ht="16.5" customHeight="1" spans="1:26">
      <c r="A438" s="326"/>
      <c r="B438" s="327"/>
      <c r="C438" s="327"/>
      <c r="D438" s="330"/>
      <c r="E438" s="332"/>
      <c r="F438" s="330"/>
      <c r="G438" s="329">
        <v>2</v>
      </c>
      <c r="H438" s="329">
        <v>0.55</v>
      </c>
      <c r="I438" s="329">
        <v>0.11</v>
      </c>
      <c r="J438" s="329">
        <v>0.1</v>
      </c>
      <c r="K438" s="329"/>
      <c r="L438" s="329">
        <f t="shared" si="32"/>
        <v>1.1</v>
      </c>
      <c r="M438" s="329">
        <f t="shared" si="33"/>
        <v>0.121</v>
      </c>
      <c r="N438" s="329">
        <f t="shared" si="34"/>
        <v>0.0121</v>
      </c>
      <c r="O438" s="329"/>
      <c r="P438" s="337"/>
      <c r="Q438" s="337"/>
      <c r="R438" s="337"/>
      <c r="S438" s="337"/>
      <c r="T438" s="337"/>
      <c r="U438" s="337"/>
      <c r="V438" s="337"/>
      <c r="W438" s="337"/>
      <c r="X438" s="339"/>
      <c r="Y438" s="339"/>
      <c r="Z438" s="339"/>
    </row>
    <row r="439" ht="16.5" customHeight="1" spans="1:26">
      <c r="A439" s="326"/>
      <c r="B439" s="327"/>
      <c r="C439" s="327"/>
      <c r="D439" s="330"/>
      <c r="E439" s="332" t="s">
        <v>310</v>
      </c>
      <c r="F439" s="330"/>
      <c r="G439" s="329">
        <v>2</v>
      </c>
      <c r="H439" s="329">
        <f>(0.765+0.97)/2</f>
        <v>0.8675</v>
      </c>
      <c r="I439" s="329">
        <v>1.378</v>
      </c>
      <c r="J439" s="329">
        <v>0.1</v>
      </c>
      <c r="K439" s="329"/>
      <c r="L439" s="329">
        <f t="shared" si="32"/>
        <v>1.735</v>
      </c>
      <c r="M439" s="329">
        <f t="shared" si="33"/>
        <v>2.3908</v>
      </c>
      <c r="N439" s="329">
        <f t="shared" si="34"/>
        <v>0.2391</v>
      </c>
      <c r="O439" s="329"/>
      <c r="P439" s="337"/>
      <c r="Q439" s="337"/>
      <c r="R439" s="337"/>
      <c r="S439" s="337"/>
      <c r="T439" s="337"/>
      <c r="U439" s="337"/>
      <c r="V439" s="337"/>
      <c r="W439" s="337"/>
      <c r="X439" s="339"/>
      <c r="Y439" s="339"/>
      <c r="Z439" s="339"/>
    </row>
    <row r="440" ht="16.5" customHeight="1" spans="1:26">
      <c r="A440" s="326"/>
      <c r="B440" s="327"/>
      <c r="C440" s="327"/>
      <c r="D440" s="330"/>
      <c r="E440" s="332" t="s">
        <v>311</v>
      </c>
      <c r="F440" s="330"/>
      <c r="G440" s="329">
        <v>2</v>
      </c>
      <c r="H440" s="329">
        <v>0.11</v>
      </c>
      <c r="I440" s="329">
        <v>1.338</v>
      </c>
      <c r="J440" s="329">
        <v>0.15</v>
      </c>
      <c r="K440" s="329"/>
      <c r="L440" s="329">
        <f t="shared" si="32"/>
        <v>0.22</v>
      </c>
      <c r="M440" s="329">
        <f t="shared" si="33"/>
        <v>0.2944</v>
      </c>
      <c r="N440" s="329">
        <f t="shared" si="34"/>
        <v>0.0442</v>
      </c>
      <c r="O440" s="329"/>
      <c r="P440" s="337"/>
      <c r="Q440" s="337"/>
      <c r="R440" s="337"/>
      <c r="S440" s="337"/>
      <c r="T440" s="337"/>
      <c r="U440" s="337"/>
      <c r="V440" s="337"/>
      <c r="W440" s="337"/>
      <c r="X440" s="339"/>
      <c r="Y440" s="339"/>
      <c r="Z440" s="339"/>
    </row>
    <row r="441" ht="16.5" customHeight="1" spans="1:26">
      <c r="A441" s="326"/>
      <c r="B441" s="327"/>
      <c r="C441" s="327"/>
      <c r="D441" s="330"/>
      <c r="E441" s="332" t="s">
        <v>312</v>
      </c>
      <c r="F441" s="330"/>
      <c r="G441" s="329">
        <v>1</v>
      </c>
      <c r="H441" s="329">
        <f>H289</f>
        <v>5</v>
      </c>
      <c r="I441" s="329">
        <f>2.798+0.55</f>
        <v>3.348</v>
      </c>
      <c r="J441" s="329">
        <v>0.1</v>
      </c>
      <c r="K441" s="329"/>
      <c r="L441" s="329">
        <f t="shared" si="32"/>
        <v>5</v>
      </c>
      <c r="M441" s="329">
        <f t="shared" si="33"/>
        <v>16.74</v>
      </c>
      <c r="N441" s="329">
        <f t="shared" si="34"/>
        <v>1.674</v>
      </c>
      <c r="O441" s="329"/>
      <c r="P441" s="337"/>
      <c r="Q441" s="337"/>
      <c r="R441" s="337"/>
      <c r="S441" s="337"/>
      <c r="T441" s="337"/>
      <c r="U441" s="337"/>
      <c r="V441" s="337"/>
      <c r="W441" s="337"/>
      <c r="X441" s="339"/>
      <c r="Y441" s="339"/>
      <c r="Z441" s="339"/>
    </row>
    <row r="442" ht="16.5" customHeight="1" spans="1:26">
      <c r="A442" s="326"/>
      <c r="B442" s="327"/>
      <c r="C442" s="327"/>
      <c r="D442" s="330"/>
      <c r="E442" s="332"/>
      <c r="F442" s="330"/>
      <c r="G442" s="329">
        <v>-1</v>
      </c>
      <c r="H442" s="329">
        <v>2.635</v>
      </c>
      <c r="I442" s="329">
        <v>1.38</v>
      </c>
      <c r="J442" s="329">
        <v>0.1</v>
      </c>
      <c r="K442" s="329"/>
      <c r="L442" s="329">
        <f t="shared" si="32"/>
        <v>-2.635</v>
      </c>
      <c r="M442" s="329">
        <f t="shared" si="33"/>
        <v>-3.6363</v>
      </c>
      <c r="N442" s="329">
        <f t="shared" si="34"/>
        <v>-0.3636</v>
      </c>
      <c r="O442" s="329"/>
      <c r="P442" s="337"/>
      <c r="Q442" s="337"/>
      <c r="R442" s="337"/>
      <c r="S442" s="337"/>
      <c r="T442" s="337"/>
      <c r="U442" s="337"/>
      <c r="V442" s="337"/>
      <c r="W442" s="337"/>
      <c r="X442" s="339"/>
      <c r="Y442" s="339"/>
      <c r="Z442" s="339"/>
    </row>
    <row r="443" ht="16.5" customHeight="1" spans="1:26">
      <c r="A443" s="326"/>
      <c r="B443" s="327"/>
      <c r="C443" s="327"/>
      <c r="D443" s="330"/>
      <c r="E443" s="332"/>
      <c r="F443" s="330"/>
      <c r="G443" s="329">
        <v>-1</v>
      </c>
      <c r="H443" s="329">
        <v>0.255</v>
      </c>
      <c r="I443" s="329">
        <v>1.38</v>
      </c>
      <c r="J443" s="329">
        <v>0.1</v>
      </c>
      <c r="K443" s="329"/>
      <c r="L443" s="329">
        <f t="shared" si="32"/>
        <v>-0.255</v>
      </c>
      <c r="M443" s="329">
        <f t="shared" si="33"/>
        <v>-0.3519</v>
      </c>
      <c r="N443" s="329">
        <f t="shared" si="34"/>
        <v>-0.0352</v>
      </c>
      <c r="O443" s="329"/>
      <c r="P443" s="337"/>
      <c r="Q443" s="337"/>
      <c r="R443" s="337"/>
      <c r="S443" s="337"/>
      <c r="T443" s="337"/>
      <c r="U443" s="337"/>
      <c r="V443" s="337"/>
      <c r="W443" s="337"/>
      <c r="X443" s="339"/>
      <c r="Y443" s="339"/>
      <c r="Z443" s="339"/>
    </row>
    <row r="444" ht="60.75" customHeight="1" spans="1:37">
      <c r="A444" s="326">
        <v>19</v>
      </c>
      <c r="B444" s="327" t="s">
        <v>252</v>
      </c>
      <c r="C444" s="327"/>
      <c r="D444" s="330" t="s">
        <v>252</v>
      </c>
      <c r="E444" s="331" t="s">
        <v>408</v>
      </c>
      <c r="F444" s="330" t="s">
        <v>107</v>
      </c>
      <c r="G444" s="329"/>
      <c r="H444" s="329"/>
      <c r="I444" s="329"/>
      <c r="J444" s="329"/>
      <c r="K444" s="329"/>
      <c r="L444" s="329">
        <f>ROUND(SUM(L445:L445),4)</f>
        <v>6.28</v>
      </c>
      <c r="M444" s="329">
        <f>ROUND(SUM(M445:M445),4)</f>
        <v>12.56</v>
      </c>
      <c r="N444" s="329"/>
      <c r="O444" s="329">
        <f>ROUND(SUM(N444:N445),4)</f>
        <v>0.0176</v>
      </c>
      <c r="P444" s="337">
        <v>679980</v>
      </c>
      <c r="Q444" s="337"/>
      <c r="R444" s="337">
        <v>5529940</v>
      </c>
      <c r="S444" s="337">
        <v>651440</v>
      </c>
      <c r="T444" s="337">
        <f>ROUND(ROUND(O444,4)*P444,0)</f>
        <v>11968</v>
      </c>
      <c r="U444" s="337">
        <f>ROUND(ROUND(O444,4)*Q444,0)</f>
        <v>0</v>
      </c>
      <c r="V444" s="337">
        <f>ROUND(ROUND(O444,4)*R444,0)</f>
        <v>97327</v>
      </c>
      <c r="W444" s="337">
        <f>ROUND(ROUND(O444,4)*S444,0)</f>
        <v>11465</v>
      </c>
      <c r="X444" s="339"/>
      <c r="Y444" s="339"/>
      <c r="Z444" s="339"/>
      <c r="AA444" s="325" t="s">
        <v>47</v>
      </c>
      <c r="AB444" s="325" t="s">
        <v>48</v>
      </c>
      <c r="AC444" s="324" t="s">
        <v>254</v>
      </c>
      <c r="AD444" s="324" t="s">
        <v>255</v>
      </c>
      <c r="AE444" s="324" t="s">
        <v>214</v>
      </c>
      <c r="AK444" s="325" t="s">
        <v>51</v>
      </c>
    </row>
    <row r="445" ht="16.5" customHeight="1" spans="1:26">
      <c r="A445" s="326"/>
      <c r="B445" s="327"/>
      <c r="C445" s="327"/>
      <c r="D445" s="330"/>
      <c r="E445" s="332" t="s">
        <v>409</v>
      </c>
      <c r="F445" s="330"/>
      <c r="G445" s="329">
        <v>1</v>
      </c>
      <c r="H445" s="329">
        <f>5+0.64*2</f>
        <v>6.28</v>
      </c>
      <c r="I445" s="329">
        <v>2</v>
      </c>
      <c r="J445" s="329">
        <v>0.14</v>
      </c>
      <c r="K445" s="329">
        <v>0.01</v>
      </c>
      <c r="L445" s="329">
        <f>ROUND(G445*H445,4)</f>
        <v>6.28</v>
      </c>
      <c r="M445" s="329">
        <f>ROUND(G445*H445*I445,4)</f>
        <v>12.56</v>
      </c>
      <c r="N445" s="329">
        <f>ROUND(G445*H445*I445*J445*K445,4)</f>
        <v>0.0176</v>
      </c>
      <c r="O445" s="329"/>
      <c r="P445" s="337"/>
      <c r="Q445" s="337"/>
      <c r="R445" s="337"/>
      <c r="S445" s="337"/>
      <c r="T445" s="337"/>
      <c r="U445" s="337"/>
      <c r="V445" s="337"/>
      <c r="W445" s="337"/>
      <c r="X445" s="339"/>
      <c r="Y445" s="339"/>
      <c r="Z445" s="339"/>
    </row>
    <row r="446" ht="48.75" customHeight="1" spans="1:37">
      <c r="A446" s="326">
        <v>20</v>
      </c>
      <c r="B446" s="327" t="s">
        <v>313</v>
      </c>
      <c r="C446" s="327"/>
      <c r="D446" s="330" t="s">
        <v>313</v>
      </c>
      <c r="E446" s="331" t="s">
        <v>410</v>
      </c>
      <c r="F446" s="330" t="s">
        <v>114</v>
      </c>
      <c r="G446" s="329"/>
      <c r="H446" s="329"/>
      <c r="I446" s="329"/>
      <c r="J446" s="329"/>
      <c r="K446" s="329"/>
      <c r="L446" s="329"/>
      <c r="M446" s="329"/>
      <c r="N446" s="329"/>
      <c r="O446" s="329">
        <f>ROUND(SUM(N446:N447),4)</f>
        <v>0.009</v>
      </c>
      <c r="P446" s="337">
        <v>16497030</v>
      </c>
      <c r="Q446" s="337"/>
      <c r="R446" s="337">
        <v>3947214</v>
      </c>
      <c r="S446" s="337">
        <v>177143</v>
      </c>
      <c r="T446" s="337">
        <f>ROUND(ROUND(O446,4)*P446,0)</f>
        <v>148473</v>
      </c>
      <c r="U446" s="337">
        <f>ROUND(ROUND(O446,4)*Q446,0)</f>
        <v>0</v>
      </c>
      <c r="V446" s="337">
        <f>ROUND(ROUND(O446,4)*R446,0)</f>
        <v>35525</v>
      </c>
      <c r="W446" s="337">
        <f>ROUND(ROUND(O446,4)*S446,0)</f>
        <v>1594</v>
      </c>
      <c r="X446" s="339"/>
      <c r="Y446" s="339"/>
      <c r="Z446" s="339"/>
      <c r="AA446" s="325" t="s">
        <v>47</v>
      </c>
      <c r="AB446" s="325" t="s">
        <v>48</v>
      </c>
      <c r="AC446" s="324" t="s">
        <v>134</v>
      </c>
      <c r="AD446" s="324" t="s">
        <v>315</v>
      </c>
      <c r="AE446" s="324" t="s">
        <v>224</v>
      </c>
      <c r="AK446" s="325" t="s">
        <v>51</v>
      </c>
    </row>
    <row r="447" ht="16.5" customHeight="1" spans="1:26">
      <c r="A447" s="326"/>
      <c r="B447" s="327"/>
      <c r="C447" s="327"/>
      <c r="D447" s="330"/>
      <c r="E447" s="332" t="s">
        <v>411</v>
      </c>
      <c r="F447" s="330"/>
      <c r="G447" s="329"/>
      <c r="H447" s="329"/>
      <c r="I447" s="329"/>
      <c r="J447" s="329"/>
      <c r="K447" s="329"/>
      <c r="L447" s="329"/>
      <c r="M447" s="329"/>
      <c r="N447" s="329">
        <v>0.009</v>
      </c>
      <c r="O447" s="329"/>
      <c r="P447" s="337"/>
      <c r="Q447" s="337"/>
      <c r="R447" s="337"/>
      <c r="S447" s="337"/>
      <c r="T447" s="337"/>
      <c r="U447" s="337"/>
      <c r="V447" s="337"/>
      <c r="W447" s="337"/>
      <c r="X447" s="339"/>
      <c r="Y447" s="339"/>
      <c r="Z447" s="339"/>
    </row>
    <row r="448" ht="48.75" customHeight="1" spans="1:31">
      <c r="A448" s="326">
        <v>21</v>
      </c>
      <c r="B448" s="327" t="s">
        <v>412</v>
      </c>
      <c r="C448" s="327" t="s">
        <v>413</v>
      </c>
      <c r="D448" s="330" t="s">
        <v>412</v>
      </c>
      <c r="E448" s="331" t="s">
        <v>414</v>
      </c>
      <c r="F448" s="330" t="s">
        <v>55</v>
      </c>
      <c r="G448" s="329"/>
      <c r="H448" s="329"/>
      <c r="I448" s="329"/>
      <c r="J448" s="329"/>
      <c r="K448" s="329"/>
      <c r="L448" s="329">
        <f>ROUND(SUM(L449:L450),4)</f>
        <v>6.28</v>
      </c>
      <c r="M448" s="329">
        <f>ROUND(SUM(M449:M450),4)</f>
        <v>1.0048</v>
      </c>
      <c r="N448" s="329"/>
      <c r="O448" s="329">
        <f>ROUND(SUM(N448:N450),4)</f>
        <v>0.1407</v>
      </c>
      <c r="P448" s="337">
        <v>657131</v>
      </c>
      <c r="Q448" s="337"/>
      <c r="R448" s="337">
        <v>770822</v>
      </c>
      <c r="S448" s="337">
        <v>104965</v>
      </c>
      <c r="T448" s="337">
        <f>ROUND(ROUND(O448,4)*P448,0)</f>
        <v>92458</v>
      </c>
      <c r="U448" s="337">
        <f>ROUND(ROUND(O448,4)*Q448,0)</f>
        <v>0</v>
      </c>
      <c r="V448" s="337">
        <f>ROUND(ROUND(O448,4)*R448,0)</f>
        <v>108455</v>
      </c>
      <c r="W448" s="337">
        <f>ROUND(ROUND(O448,4)*S448,0)</f>
        <v>14769</v>
      </c>
      <c r="X448" s="339"/>
      <c r="Y448" s="339"/>
      <c r="Z448" s="339"/>
      <c r="AC448" s="324" t="s">
        <v>415</v>
      </c>
      <c r="AD448" s="324" t="s">
        <v>167</v>
      </c>
      <c r="AE448" s="324" t="s">
        <v>168</v>
      </c>
    </row>
    <row r="449" ht="16.5" customHeight="1" spans="1:26">
      <c r="A449" s="326"/>
      <c r="B449" s="327"/>
      <c r="C449" s="327"/>
      <c r="D449" s="330"/>
      <c r="E449" s="332" t="s">
        <v>416</v>
      </c>
      <c r="F449" s="330"/>
      <c r="G449" s="329">
        <v>1</v>
      </c>
      <c r="H449" s="329">
        <f>H445</f>
        <v>6.28</v>
      </c>
      <c r="I449" s="329">
        <v>0.16</v>
      </c>
      <c r="J449" s="329">
        <v>0.14</v>
      </c>
      <c r="K449" s="329"/>
      <c r="L449" s="329">
        <f>ROUND(G449*H449,4)</f>
        <v>6.28</v>
      </c>
      <c r="M449" s="329">
        <f>ROUND(G449*H449*I449,4)</f>
        <v>1.0048</v>
      </c>
      <c r="N449" s="329">
        <f>ROUND(G449*H449*I449*J449,4)</f>
        <v>0.1407</v>
      </c>
      <c r="O449" s="329"/>
      <c r="P449" s="337"/>
      <c r="Q449" s="337"/>
      <c r="R449" s="337"/>
      <c r="S449" s="337"/>
      <c r="T449" s="337"/>
      <c r="U449" s="337"/>
      <c r="V449" s="337"/>
      <c r="W449" s="337"/>
      <c r="X449" s="339"/>
      <c r="Y449" s="339"/>
      <c r="Z449" s="339"/>
    </row>
    <row r="450" ht="16.5" customHeight="1" spans="1:26">
      <c r="A450" s="326"/>
      <c r="B450" s="327"/>
      <c r="C450" s="327"/>
      <c r="D450" s="330"/>
      <c r="E450" s="333" t="s">
        <v>417</v>
      </c>
      <c r="F450" s="330"/>
      <c r="G450" s="329"/>
      <c r="H450" s="329"/>
      <c r="I450" s="329"/>
      <c r="J450" s="329"/>
      <c r="K450" s="329"/>
      <c r="L450" s="329"/>
      <c r="M450" s="329"/>
      <c r="N450" s="329"/>
      <c r="O450" s="329"/>
      <c r="P450" s="337"/>
      <c r="Q450" s="337"/>
      <c r="R450" s="337"/>
      <c r="S450" s="337"/>
      <c r="T450" s="337"/>
      <c r="U450" s="337"/>
      <c r="V450" s="337"/>
      <c r="W450" s="337"/>
      <c r="X450" s="339"/>
      <c r="Y450" s="339"/>
      <c r="Z450" s="339"/>
    </row>
    <row r="451" ht="37.5" customHeight="1" spans="1:30">
      <c r="A451" s="326">
        <v>22</v>
      </c>
      <c r="B451" s="327" t="s">
        <v>418</v>
      </c>
      <c r="C451" s="327"/>
      <c r="D451" s="330" t="s">
        <v>418</v>
      </c>
      <c r="E451" s="331" t="s">
        <v>419</v>
      </c>
      <c r="F451" s="330" t="s">
        <v>107</v>
      </c>
      <c r="G451" s="329"/>
      <c r="H451" s="329"/>
      <c r="I451" s="329"/>
      <c r="J451" s="329"/>
      <c r="K451" s="329"/>
      <c r="L451" s="329">
        <f>ROUND(SUM(L452:L461),4)</f>
        <v>26.3</v>
      </c>
      <c r="M451" s="329">
        <f>ROUND(SUM(M452:M461),4)</f>
        <v>11.788</v>
      </c>
      <c r="N451" s="329"/>
      <c r="O451" s="329">
        <f>ROUND(SUM(N451:N461),4)</f>
        <v>0.1179</v>
      </c>
      <c r="P451" s="337">
        <v>251530</v>
      </c>
      <c r="Q451" s="337"/>
      <c r="R451" s="337">
        <v>5101531</v>
      </c>
      <c r="S451" s="337"/>
      <c r="T451" s="337">
        <f>ROUND(ROUND(O451,4)*P451,0)</f>
        <v>29655</v>
      </c>
      <c r="U451" s="337">
        <f>ROUND(ROUND(O451,4)*Q451,0)</f>
        <v>0</v>
      </c>
      <c r="V451" s="337">
        <f>ROUND(ROUND(O451,4)*R451,0)</f>
        <v>601471</v>
      </c>
      <c r="W451" s="337">
        <f>ROUND(ROUND(O451,4)*S451,0)</f>
        <v>0</v>
      </c>
      <c r="X451" s="339"/>
      <c r="Y451" s="339"/>
      <c r="Z451" s="339"/>
      <c r="AC451" s="324" t="s">
        <v>420</v>
      </c>
      <c r="AD451" s="324" t="s">
        <v>421</v>
      </c>
    </row>
    <row r="452" ht="16.5" customHeight="1" spans="1:26">
      <c r="A452" s="326"/>
      <c r="B452" s="327"/>
      <c r="C452" s="327"/>
      <c r="D452" s="330"/>
      <c r="E452" s="333" t="s">
        <v>422</v>
      </c>
      <c r="F452" s="330"/>
      <c r="G452" s="329"/>
      <c r="H452" s="329"/>
      <c r="I452" s="329"/>
      <c r="J452" s="329"/>
      <c r="K452" s="329"/>
      <c r="L452" s="329"/>
      <c r="M452" s="329"/>
      <c r="N452" s="329"/>
      <c r="O452" s="329"/>
      <c r="P452" s="337"/>
      <c r="Q452" s="337"/>
      <c r="R452" s="337"/>
      <c r="S452" s="337"/>
      <c r="T452" s="337"/>
      <c r="U452" s="337"/>
      <c r="V452" s="337"/>
      <c r="W452" s="337"/>
      <c r="X452" s="339"/>
      <c r="Y452" s="339"/>
      <c r="Z452" s="339"/>
    </row>
    <row r="453" ht="16.5" customHeight="1" spans="1:26">
      <c r="A453" s="326"/>
      <c r="B453" s="327"/>
      <c r="C453" s="327"/>
      <c r="D453" s="330"/>
      <c r="E453" s="332" t="s">
        <v>423</v>
      </c>
      <c r="F453" s="330"/>
      <c r="G453" s="329">
        <v>1</v>
      </c>
      <c r="H453" s="329">
        <v>1.2</v>
      </c>
      <c r="I453" s="329">
        <f>0.22+0.07*2</f>
        <v>0.36</v>
      </c>
      <c r="J453" s="329"/>
      <c r="K453" s="329">
        <v>0.01</v>
      </c>
      <c r="L453" s="329">
        <f>ROUND(G453*H453,4)</f>
        <v>1.2</v>
      </c>
      <c r="M453" s="329">
        <f>ROUND(G453*H453*I453,4)</f>
        <v>0.432</v>
      </c>
      <c r="N453" s="329">
        <f>ROUND(G453*H453*I453*K453,4)</f>
        <v>0.0043</v>
      </c>
      <c r="O453" s="329"/>
      <c r="P453" s="337"/>
      <c r="Q453" s="337"/>
      <c r="R453" s="337"/>
      <c r="S453" s="337"/>
      <c r="T453" s="337"/>
      <c r="U453" s="337"/>
      <c r="V453" s="337"/>
      <c r="W453" s="337"/>
      <c r="X453" s="339"/>
      <c r="Y453" s="339"/>
      <c r="Z453" s="339"/>
    </row>
    <row r="454" ht="16.5" customHeight="1" spans="1:26">
      <c r="A454" s="326"/>
      <c r="B454" s="327"/>
      <c r="C454" s="327"/>
      <c r="D454" s="330"/>
      <c r="E454" s="332" t="s">
        <v>424</v>
      </c>
      <c r="F454" s="330"/>
      <c r="G454" s="329">
        <v>1</v>
      </c>
      <c r="H454" s="329">
        <v>2.3</v>
      </c>
      <c r="I454" s="329">
        <f>0.22+0.14*2</f>
        <v>0.5</v>
      </c>
      <c r="J454" s="329"/>
      <c r="K454" s="329">
        <v>0.01</v>
      </c>
      <c r="L454" s="329">
        <f>ROUND(G454*H454,4)</f>
        <v>2.3</v>
      </c>
      <c r="M454" s="329">
        <f>ROUND(G454*H454*I454,4)</f>
        <v>1.15</v>
      </c>
      <c r="N454" s="329">
        <f>ROUND(G454*H454*I454*K454,4)</f>
        <v>0.0115</v>
      </c>
      <c r="O454" s="329"/>
      <c r="P454" s="337"/>
      <c r="Q454" s="337"/>
      <c r="R454" s="337"/>
      <c r="S454" s="337"/>
      <c r="T454" s="337"/>
      <c r="U454" s="337"/>
      <c r="V454" s="337"/>
      <c r="W454" s="337"/>
      <c r="X454" s="339"/>
      <c r="Y454" s="339"/>
      <c r="Z454" s="339"/>
    </row>
    <row r="455" ht="16.5" customHeight="1" spans="1:26">
      <c r="A455" s="326"/>
      <c r="B455" s="327"/>
      <c r="C455" s="327"/>
      <c r="D455" s="330"/>
      <c r="E455" s="332" t="s">
        <v>425</v>
      </c>
      <c r="F455" s="330"/>
      <c r="G455" s="329">
        <v>1</v>
      </c>
      <c r="H455" s="329">
        <v>3.3</v>
      </c>
      <c r="I455" s="329">
        <f>0.22+0.21*2</f>
        <v>0.64</v>
      </c>
      <c r="J455" s="329"/>
      <c r="K455" s="329">
        <v>0.01</v>
      </c>
      <c r="L455" s="329">
        <f>ROUND(G455*H455,4)</f>
        <v>3.3</v>
      </c>
      <c r="M455" s="329">
        <f>ROUND(G455*H455*I455,4)</f>
        <v>2.112</v>
      </c>
      <c r="N455" s="329">
        <f>ROUND(G455*H455*I455*K455,4)</f>
        <v>0.0211</v>
      </c>
      <c r="O455" s="329"/>
      <c r="P455" s="337"/>
      <c r="Q455" s="337"/>
      <c r="R455" s="337"/>
      <c r="S455" s="337"/>
      <c r="T455" s="337"/>
      <c r="U455" s="337"/>
      <c r="V455" s="337"/>
      <c r="W455" s="337"/>
      <c r="X455" s="339"/>
      <c r="Y455" s="339"/>
      <c r="Z455" s="339"/>
    </row>
    <row r="456" ht="16.5" customHeight="1" spans="1:26">
      <c r="A456" s="326"/>
      <c r="B456" s="327"/>
      <c r="C456" s="327"/>
      <c r="D456" s="330"/>
      <c r="E456" s="333" t="s">
        <v>426</v>
      </c>
      <c r="F456" s="330"/>
      <c r="G456" s="329"/>
      <c r="H456" s="329"/>
      <c r="I456" s="329"/>
      <c r="J456" s="329"/>
      <c r="K456" s="329"/>
      <c r="L456" s="329"/>
      <c r="M456" s="329"/>
      <c r="N456" s="329"/>
      <c r="O456" s="329"/>
      <c r="P456" s="337"/>
      <c r="Q456" s="337"/>
      <c r="R456" s="337"/>
      <c r="S456" s="337"/>
      <c r="T456" s="337"/>
      <c r="U456" s="337"/>
      <c r="V456" s="337"/>
      <c r="W456" s="337"/>
      <c r="X456" s="339"/>
      <c r="Y456" s="339"/>
      <c r="Z456" s="339"/>
    </row>
    <row r="457" ht="16.5" customHeight="1" spans="1:26">
      <c r="A457" s="326"/>
      <c r="B457" s="327"/>
      <c r="C457" s="327"/>
      <c r="D457" s="330"/>
      <c r="E457" s="332" t="s">
        <v>427</v>
      </c>
      <c r="F457" s="330"/>
      <c r="G457" s="329">
        <v>9</v>
      </c>
      <c r="H457" s="329">
        <v>0.9</v>
      </c>
      <c r="I457" s="329">
        <f>0.22+0.07*2</f>
        <v>0.36</v>
      </c>
      <c r="J457" s="329"/>
      <c r="K457" s="329">
        <v>0.01</v>
      </c>
      <c r="L457" s="329">
        <f>ROUND(G457*H457,4)</f>
        <v>8.1</v>
      </c>
      <c r="M457" s="329">
        <f>ROUND(G457*H457*I457,4)</f>
        <v>2.916</v>
      </c>
      <c r="N457" s="329">
        <f>ROUND(G457*H457*I457*K457,4)</f>
        <v>0.0292</v>
      </c>
      <c r="O457" s="329"/>
      <c r="P457" s="337"/>
      <c r="Q457" s="337"/>
      <c r="R457" s="337"/>
      <c r="S457" s="337"/>
      <c r="T457" s="337"/>
      <c r="U457" s="337"/>
      <c r="V457" s="337"/>
      <c r="W457" s="337"/>
      <c r="X457" s="339"/>
      <c r="Y457" s="339"/>
      <c r="Z457" s="339"/>
    </row>
    <row r="458" ht="16.5" customHeight="1" spans="1:26">
      <c r="A458" s="326"/>
      <c r="B458" s="327"/>
      <c r="C458" s="327"/>
      <c r="D458" s="330"/>
      <c r="E458" s="332" t="s">
        <v>428</v>
      </c>
      <c r="F458" s="330"/>
      <c r="G458" s="329">
        <v>3</v>
      </c>
      <c r="H458" s="329">
        <v>1.9</v>
      </c>
      <c r="I458" s="329">
        <f>0.22+0.14*2</f>
        <v>0.5</v>
      </c>
      <c r="J458" s="329"/>
      <c r="K458" s="329">
        <v>0.01</v>
      </c>
      <c r="L458" s="329">
        <f>ROUND(G458*H458,4)</f>
        <v>5.7</v>
      </c>
      <c r="M458" s="329">
        <f>ROUND(G458*H458*I458,4)</f>
        <v>2.85</v>
      </c>
      <c r="N458" s="329">
        <f>ROUND(G458*H458*I458*K458,4)</f>
        <v>0.0285</v>
      </c>
      <c r="O458" s="329"/>
      <c r="P458" s="337"/>
      <c r="Q458" s="337"/>
      <c r="R458" s="337"/>
      <c r="S458" s="337"/>
      <c r="T458" s="337"/>
      <c r="U458" s="337"/>
      <c r="V458" s="337"/>
      <c r="W458" s="337"/>
      <c r="X458" s="339"/>
      <c r="Y458" s="339"/>
      <c r="Z458" s="339"/>
    </row>
    <row r="459" ht="16.5" customHeight="1" spans="1:26">
      <c r="A459" s="326"/>
      <c r="B459" s="327"/>
      <c r="C459" s="327"/>
      <c r="D459" s="330"/>
      <c r="E459" s="332" t="s">
        <v>429</v>
      </c>
      <c r="F459" s="330"/>
      <c r="G459" s="329">
        <v>3</v>
      </c>
      <c r="H459" s="329">
        <v>1.5</v>
      </c>
      <c r="I459" s="329">
        <f>0.22+0.07*2</f>
        <v>0.36</v>
      </c>
      <c r="J459" s="329"/>
      <c r="K459" s="329">
        <v>0.01</v>
      </c>
      <c r="L459" s="329">
        <f>ROUND(G459*H459,4)</f>
        <v>4.5</v>
      </c>
      <c r="M459" s="329">
        <f>ROUND(G459*H459*I459,4)</f>
        <v>1.62</v>
      </c>
      <c r="N459" s="329">
        <f>ROUND(G459*H459*I459*K459,4)</f>
        <v>0.0162</v>
      </c>
      <c r="O459" s="329"/>
      <c r="P459" s="337"/>
      <c r="Q459" s="337"/>
      <c r="R459" s="337"/>
      <c r="S459" s="337"/>
      <c r="T459" s="337"/>
      <c r="U459" s="337"/>
      <c r="V459" s="337"/>
      <c r="W459" s="337"/>
      <c r="X459" s="339"/>
      <c r="Y459" s="339"/>
      <c r="Z459" s="339"/>
    </row>
    <row r="460" ht="16.5" customHeight="1" spans="1:26">
      <c r="A460" s="326"/>
      <c r="B460" s="327"/>
      <c r="C460" s="327"/>
      <c r="D460" s="330"/>
      <c r="E460" s="333" t="s">
        <v>219</v>
      </c>
      <c r="F460" s="330"/>
      <c r="G460" s="329"/>
      <c r="H460" s="329"/>
      <c r="I460" s="329"/>
      <c r="J460" s="329"/>
      <c r="K460" s="329"/>
      <c r="L460" s="329"/>
      <c r="M460" s="329"/>
      <c r="N460" s="329"/>
      <c r="O460" s="329"/>
      <c r="P460" s="337"/>
      <c r="Q460" s="337"/>
      <c r="R460" s="337"/>
      <c r="S460" s="337"/>
      <c r="T460" s="337"/>
      <c r="U460" s="337"/>
      <c r="V460" s="337"/>
      <c r="W460" s="337"/>
      <c r="X460" s="339"/>
      <c r="Y460" s="339"/>
      <c r="Z460" s="339"/>
    </row>
    <row r="461" ht="16.5" customHeight="1" spans="1:26">
      <c r="A461" s="326"/>
      <c r="B461" s="327"/>
      <c r="C461" s="327"/>
      <c r="D461" s="330"/>
      <c r="E461" s="332" t="s">
        <v>430</v>
      </c>
      <c r="F461" s="330"/>
      <c r="G461" s="329">
        <v>1</v>
      </c>
      <c r="H461" s="329">
        <v>1.2</v>
      </c>
      <c r="I461" s="329">
        <f>0.31+0.14*2</f>
        <v>0.59</v>
      </c>
      <c r="J461" s="329"/>
      <c r="K461" s="329">
        <v>0.01</v>
      </c>
      <c r="L461" s="329">
        <f>ROUND(G461*H461,4)</f>
        <v>1.2</v>
      </c>
      <c r="M461" s="329">
        <f>ROUND(G461*H461*I461,4)</f>
        <v>0.708</v>
      </c>
      <c r="N461" s="329">
        <f>ROUND(G461*H461*I461*K461,4)</f>
        <v>0.0071</v>
      </c>
      <c r="O461" s="329"/>
      <c r="P461" s="337"/>
      <c r="Q461" s="337"/>
      <c r="R461" s="337"/>
      <c r="S461" s="337"/>
      <c r="T461" s="337"/>
      <c r="U461" s="337"/>
      <c r="V461" s="337"/>
      <c r="W461" s="337"/>
      <c r="X461" s="339"/>
      <c r="Y461" s="339"/>
      <c r="Z461" s="339"/>
    </row>
    <row r="462" ht="26.25" customHeight="1" spans="1:37">
      <c r="A462" s="326">
        <v>23</v>
      </c>
      <c r="B462" s="327" t="s">
        <v>431</v>
      </c>
      <c r="C462" s="327"/>
      <c r="D462" s="330" t="s">
        <v>431</v>
      </c>
      <c r="E462" s="331" t="s">
        <v>432</v>
      </c>
      <c r="F462" s="330" t="s">
        <v>114</v>
      </c>
      <c r="G462" s="329"/>
      <c r="H462" s="329"/>
      <c r="I462" s="329"/>
      <c r="J462" s="329"/>
      <c r="K462" s="329"/>
      <c r="L462" s="329"/>
      <c r="M462" s="329"/>
      <c r="N462" s="329"/>
      <c r="O462" s="329">
        <f>ROUND(SUM(N462:N469),4)</f>
        <v>0.0929</v>
      </c>
      <c r="P462" s="337">
        <v>16497030</v>
      </c>
      <c r="Q462" s="337"/>
      <c r="R462" s="337">
        <v>4627097</v>
      </c>
      <c r="S462" s="337">
        <v>113670</v>
      </c>
      <c r="T462" s="337">
        <f>ROUND(ROUND(O462,4)*P462,0)</f>
        <v>1532574</v>
      </c>
      <c r="U462" s="337">
        <f>ROUND(ROUND(O462,4)*Q462,0)</f>
        <v>0</v>
      </c>
      <c r="V462" s="337">
        <f>ROUND(ROUND(O462,4)*R462,0)</f>
        <v>429857</v>
      </c>
      <c r="W462" s="337">
        <f>ROUND(ROUND(O462,4)*S462,0)</f>
        <v>10560</v>
      </c>
      <c r="X462" s="339"/>
      <c r="Y462" s="339"/>
      <c r="Z462" s="339"/>
      <c r="AA462" s="325" t="s">
        <v>47</v>
      </c>
      <c r="AB462" s="325" t="s">
        <v>48</v>
      </c>
      <c r="AC462" s="324" t="s">
        <v>134</v>
      </c>
      <c r="AD462" s="324" t="s">
        <v>433</v>
      </c>
      <c r="AE462" s="324" t="s">
        <v>434</v>
      </c>
      <c r="AK462" s="325" t="s">
        <v>51</v>
      </c>
    </row>
    <row r="463" ht="16.5" customHeight="1" spans="1:26">
      <c r="A463" s="326"/>
      <c r="B463" s="327"/>
      <c r="C463" s="327"/>
      <c r="D463" s="330"/>
      <c r="E463" s="332" t="s">
        <v>435</v>
      </c>
      <c r="F463" s="330"/>
      <c r="G463" s="329"/>
      <c r="H463" s="329"/>
      <c r="I463" s="329"/>
      <c r="J463" s="329"/>
      <c r="K463" s="329"/>
      <c r="L463" s="329"/>
      <c r="M463" s="329"/>
      <c r="N463" s="329">
        <v>0.0016</v>
      </c>
      <c r="O463" s="329"/>
      <c r="P463" s="337"/>
      <c r="Q463" s="337"/>
      <c r="R463" s="337"/>
      <c r="S463" s="337"/>
      <c r="T463" s="337"/>
      <c r="U463" s="337"/>
      <c r="V463" s="337"/>
      <c r="W463" s="337"/>
      <c r="X463" s="339"/>
      <c r="Y463" s="339"/>
      <c r="Z463" s="339"/>
    </row>
    <row r="464" ht="16.5" customHeight="1" spans="1:26">
      <c r="A464" s="326"/>
      <c r="B464" s="327"/>
      <c r="C464" s="327"/>
      <c r="D464" s="330"/>
      <c r="E464" s="332" t="s">
        <v>436</v>
      </c>
      <c r="F464" s="330"/>
      <c r="G464" s="329"/>
      <c r="H464" s="329"/>
      <c r="I464" s="329"/>
      <c r="J464" s="329"/>
      <c r="K464" s="329"/>
      <c r="L464" s="329"/>
      <c r="M464" s="329"/>
      <c r="N464" s="329">
        <v>0.0338</v>
      </c>
      <c r="O464" s="329"/>
      <c r="P464" s="337"/>
      <c r="Q464" s="337"/>
      <c r="R464" s="337"/>
      <c r="S464" s="337"/>
      <c r="T464" s="337"/>
      <c r="U464" s="337"/>
      <c r="V464" s="337"/>
      <c r="W464" s="337"/>
      <c r="X464" s="339"/>
      <c r="Y464" s="339"/>
      <c r="Z464" s="339"/>
    </row>
    <row r="465" ht="16.5" customHeight="1" spans="1:26">
      <c r="A465" s="326"/>
      <c r="B465" s="327"/>
      <c r="C465" s="327"/>
      <c r="D465" s="330"/>
      <c r="E465" s="332" t="s">
        <v>437</v>
      </c>
      <c r="F465" s="330"/>
      <c r="G465" s="329"/>
      <c r="H465" s="329"/>
      <c r="I465" s="329"/>
      <c r="J465" s="329"/>
      <c r="K465" s="329"/>
      <c r="L465" s="329"/>
      <c r="M465" s="329"/>
      <c r="N465" s="329">
        <v>0.0131</v>
      </c>
      <c r="O465" s="329"/>
      <c r="P465" s="337"/>
      <c r="Q465" s="337"/>
      <c r="R465" s="337"/>
      <c r="S465" s="337"/>
      <c r="T465" s="337"/>
      <c r="U465" s="337"/>
      <c r="V465" s="337"/>
      <c r="W465" s="337"/>
      <c r="X465" s="339"/>
      <c r="Y465" s="339"/>
      <c r="Z465" s="339"/>
    </row>
    <row r="466" ht="16.5" customHeight="1" spans="1:26">
      <c r="A466" s="326"/>
      <c r="B466" s="327"/>
      <c r="C466" s="327"/>
      <c r="D466" s="330"/>
      <c r="E466" s="332" t="s">
        <v>438</v>
      </c>
      <c r="F466" s="330"/>
      <c r="G466" s="329"/>
      <c r="H466" s="329"/>
      <c r="I466" s="329"/>
      <c r="J466" s="329"/>
      <c r="K466" s="329"/>
      <c r="L466" s="329"/>
      <c r="M466" s="329"/>
      <c r="N466" s="329">
        <v>0.0111</v>
      </c>
      <c r="O466" s="329"/>
      <c r="P466" s="337"/>
      <c r="Q466" s="337"/>
      <c r="R466" s="337"/>
      <c r="S466" s="337"/>
      <c r="T466" s="337"/>
      <c r="U466" s="337"/>
      <c r="V466" s="337"/>
      <c r="W466" s="337"/>
      <c r="X466" s="339"/>
      <c r="Y466" s="339"/>
      <c r="Z466" s="339"/>
    </row>
    <row r="467" ht="16.5" customHeight="1" spans="1:26">
      <c r="A467" s="326"/>
      <c r="B467" s="327"/>
      <c r="C467" s="327"/>
      <c r="D467" s="330"/>
      <c r="E467" s="332" t="s">
        <v>439</v>
      </c>
      <c r="F467" s="330"/>
      <c r="G467" s="329"/>
      <c r="H467" s="329"/>
      <c r="I467" s="329"/>
      <c r="J467" s="329"/>
      <c r="K467" s="329"/>
      <c r="L467" s="329"/>
      <c r="M467" s="329"/>
      <c r="N467" s="329">
        <v>0.0212</v>
      </c>
      <c r="O467" s="329"/>
      <c r="P467" s="337"/>
      <c r="Q467" s="337"/>
      <c r="R467" s="337"/>
      <c r="S467" s="337"/>
      <c r="T467" s="337"/>
      <c r="U467" s="337"/>
      <c r="V467" s="337"/>
      <c r="W467" s="337"/>
      <c r="X467" s="339"/>
      <c r="Y467" s="339"/>
      <c r="Z467" s="339"/>
    </row>
    <row r="468" ht="16.5" customHeight="1" spans="1:26">
      <c r="A468" s="326"/>
      <c r="B468" s="327"/>
      <c r="C468" s="327"/>
      <c r="D468" s="330"/>
      <c r="E468" s="332" t="s">
        <v>440</v>
      </c>
      <c r="F468" s="330"/>
      <c r="G468" s="329"/>
      <c r="H468" s="329"/>
      <c r="I468" s="329"/>
      <c r="J468" s="329"/>
      <c r="K468" s="329"/>
      <c r="L468" s="329"/>
      <c r="M468" s="329"/>
      <c r="N468" s="329">
        <v>0.0059</v>
      </c>
      <c r="O468" s="329"/>
      <c r="P468" s="337"/>
      <c r="Q468" s="337"/>
      <c r="R468" s="337"/>
      <c r="S468" s="337"/>
      <c r="T468" s="337"/>
      <c r="U468" s="337"/>
      <c r="V468" s="337"/>
      <c r="W468" s="337"/>
      <c r="X468" s="339"/>
      <c r="Y468" s="339"/>
      <c r="Z468" s="339"/>
    </row>
    <row r="469" ht="26.25" customHeight="1" spans="1:26">
      <c r="A469" s="326"/>
      <c r="B469" s="327"/>
      <c r="C469" s="327"/>
      <c r="D469" s="330"/>
      <c r="E469" s="332" t="s">
        <v>441</v>
      </c>
      <c r="F469" s="330"/>
      <c r="G469" s="329"/>
      <c r="H469" s="329"/>
      <c r="I469" s="329"/>
      <c r="J469" s="329"/>
      <c r="K469" s="329"/>
      <c r="L469" s="329"/>
      <c r="M469" s="329"/>
      <c r="N469" s="329">
        <v>0.0062</v>
      </c>
      <c r="O469" s="329"/>
      <c r="P469" s="337"/>
      <c r="Q469" s="337"/>
      <c r="R469" s="337"/>
      <c r="S469" s="337"/>
      <c r="T469" s="337"/>
      <c r="U469" s="337"/>
      <c r="V469" s="337"/>
      <c r="W469" s="337"/>
      <c r="X469" s="339"/>
      <c r="Y469" s="339"/>
      <c r="Z469" s="339"/>
    </row>
    <row r="470" ht="26.25" customHeight="1" spans="1:31">
      <c r="A470" s="326">
        <v>24</v>
      </c>
      <c r="B470" s="327" t="s">
        <v>442</v>
      </c>
      <c r="C470" s="327" t="s">
        <v>413</v>
      </c>
      <c r="D470" s="330" t="s">
        <v>442</v>
      </c>
      <c r="E470" s="331" t="s">
        <v>443</v>
      </c>
      <c r="F470" s="330" t="s">
        <v>55</v>
      </c>
      <c r="G470" s="329"/>
      <c r="H470" s="329"/>
      <c r="I470" s="329"/>
      <c r="J470" s="329"/>
      <c r="K470" s="329"/>
      <c r="L470" s="329">
        <f>ROUND(SUM(L471:L481),4)</f>
        <v>27.5</v>
      </c>
      <c r="M470" s="329">
        <f>ROUND(SUM(M471:M481),4)</f>
        <v>5.894</v>
      </c>
      <c r="N470" s="329"/>
      <c r="O470" s="329">
        <f>ROUND(SUM(N470:N481),4)</f>
        <v>0.6539</v>
      </c>
      <c r="P470" s="337">
        <v>647498</v>
      </c>
      <c r="Q470" s="337"/>
      <c r="R470" s="337">
        <v>511746</v>
      </c>
      <c r="S470" s="337">
        <v>25655</v>
      </c>
      <c r="T470" s="337">
        <f>ROUND(ROUND(O470,4)*P470,0)</f>
        <v>423399</v>
      </c>
      <c r="U470" s="337">
        <f>ROUND(ROUND(O470,4)*Q470,0)</f>
        <v>0</v>
      </c>
      <c r="V470" s="337">
        <f>ROUND(ROUND(O470,4)*R470,0)</f>
        <v>334631</v>
      </c>
      <c r="W470" s="337">
        <f>ROUND(ROUND(O470,4)*S470,0)</f>
        <v>16776</v>
      </c>
      <c r="X470" s="339"/>
      <c r="Y470" s="339"/>
      <c r="Z470" s="339"/>
      <c r="AC470" s="324" t="s">
        <v>444</v>
      </c>
      <c r="AD470" s="324" t="s">
        <v>445</v>
      </c>
      <c r="AE470" s="324" t="s">
        <v>446</v>
      </c>
    </row>
    <row r="471" ht="16.5" customHeight="1" spans="1:26">
      <c r="A471" s="326"/>
      <c r="B471" s="327"/>
      <c r="C471" s="327"/>
      <c r="D471" s="330"/>
      <c r="E471" s="333" t="s">
        <v>422</v>
      </c>
      <c r="F471" s="330"/>
      <c r="G471" s="329"/>
      <c r="H471" s="329"/>
      <c r="I471" s="329"/>
      <c r="J471" s="329"/>
      <c r="K471" s="329"/>
      <c r="L471" s="329"/>
      <c r="M471" s="329"/>
      <c r="N471" s="329"/>
      <c r="O471" s="329"/>
      <c r="P471" s="337"/>
      <c r="Q471" s="337"/>
      <c r="R471" s="337"/>
      <c r="S471" s="337"/>
      <c r="T471" s="337"/>
      <c r="U471" s="337"/>
      <c r="V471" s="337"/>
      <c r="W471" s="337"/>
      <c r="X471" s="339"/>
      <c r="Y471" s="339"/>
      <c r="Z471" s="339"/>
    </row>
    <row r="472" ht="16.5" customHeight="1" spans="1:26">
      <c r="A472" s="326"/>
      <c r="B472" s="327"/>
      <c r="C472" s="327"/>
      <c r="D472" s="330"/>
      <c r="E472" s="332" t="s">
        <v>423</v>
      </c>
      <c r="F472" s="330"/>
      <c r="G472" s="329">
        <v>1</v>
      </c>
      <c r="H472" s="329">
        <v>1.2</v>
      </c>
      <c r="I472" s="329">
        <v>0.22</v>
      </c>
      <c r="J472" s="329">
        <v>0.07</v>
      </c>
      <c r="K472" s="329"/>
      <c r="L472" s="329">
        <f>ROUND(G472*H472,4)</f>
        <v>1.2</v>
      </c>
      <c r="M472" s="329">
        <f>ROUND(G472*H472*I472,4)</f>
        <v>0.264</v>
      </c>
      <c r="N472" s="329">
        <f>ROUND(G472*H472*I472*J472,4)</f>
        <v>0.0185</v>
      </c>
      <c r="O472" s="329"/>
      <c r="P472" s="337"/>
      <c r="Q472" s="337"/>
      <c r="R472" s="337"/>
      <c r="S472" s="337"/>
      <c r="T472" s="337"/>
      <c r="U472" s="337"/>
      <c r="V472" s="337"/>
      <c r="W472" s="337"/>
      <c r="X472" s="339"/>
      <c r="Y472" s="339"/>
      <c r="Z472" s="339"/>
    </row>
    <row r="473" ht="16.5" customHeight="1" spans="1:26">
      <c r="A473" s="326"/>
      <c r="B473" s="327"/>
      <c r="C473" s="327"/>
      <c r="D473" s="330"/>
      <c r="E473" s="332" t="s">
        <v>424</v>
      </c>
      <c r="F473" s="330"/>
      <c r="G473" s="329">
        <v>1</v>
      </c>
      <c r="H473" s="329">
        <v>2.3</v>
      </c>
      <c r="I473" s="329">
        <v>0.22</v>
      </c>
      <c r="J473" s="329">
        <v>0.14</v>
      </c>
      <c r="K473" s="329"/>
      <c r="L473" s="329">
        <f>ROUND(G473*H473,4)</f>
        <v>2.3</v>
      </c>
      <c r="M473" s="329">
        <f>ROUND(G473*H473*I473,4)</f>
        <v>0.506</v>
      </c>
      <c r="N473" s="329">
        <f>ROUND(G473*H473*I473*J473,4)</f>
        <v>0.0708</v>
      </c>
      <c r="O473" s="329"/>
      <c r="P473" s="337"/>
      <c r="Q473" s="337"/>
      <c r="R473" s="337"/>
      <c r="S473" s="337"/>
      <c r="T473" s="337"/>
      <c r="U473" s="337"/>
      <c r="V473" s="337"/>
      <c r="W473" s="337"/>
      <c r="X473" s="339"/>
      <c r="Y473" s="339"/>
      <c r="Z473" s="339"/>
    </row>
    <row r="474" ht="16.5" customHeight="1" spans="1:26">
      <c r="A474" s="326"/>
      <c r="B474" s="327"/>
      <c r="C474" s="327"/>
      <c r="D474" s="330"/>
      <c r="E474" s="332" t="s">
        <v>425</v>
      </c>
      <c r="F474" s="330"/>
      <c r="G474" s="329">
        <v>1</v>
      </c>
      <c r="H474" s="329">
        <v>3.3</v>
      </c>
      <c r="I474" s="329">
        <v>0.22</v>
      </c>
      <c r="J474" s="329">
        <v>0.21</v>
      </c>
      <c r="K474" s="329"/>
      <c r="L474" s="329">
        <f>ROUND(G474*H474,4)</f>
        <v>3.3</v>
      </c>
      <c r="M474" s="329">
        <f>ROUND(G474*H474*I474,4)</f>
        <v>0.726</v>
      </c>
      <c r="N474" s="329">
        <f>ROUND(G474*H474*I474*J474,4)</f>
        <v>0.1525</v>
      </c>
      <c r="O474" s="329"/>
      <c r="P474" s="337"/>
      <c r="Q474" s="337"/>
      <c r="R474" s="337"/>
      <c r="S474" s="337"/>
      <c r="T474" s="337"/>
      <c r="U474" s="337"/>
      <c r="V474" s="337"/>
      <c r="W474" s="337"/>
      <c r="X474" s="339"/>
      <c r="Y474" s="339"/>
      <c r="Z474" s="339"/>
    </row>
    <row r="475" ht="16.5" customHeight="1" spans="1:26">
      <c r="A475" s="326"/>
      <c r="B475" s="327"/>
      <c r="C475" s="327"/>
      <c r="D475" s="330"/>
      <c r="E475" s="333" t="s">
        <v>426</v>
      </c>
      <c r="F475" s="330"/>
      <c r="G475" s="329"/>
      <c r="H475" s="329"/>
      <c r="I475" s="329"/>
      <c r="J475" s="329"/>
      <c r="K475" s="329"/>
      <c r="L475" s="329"/>
      <c r="M475" s="329"/>
      <c r="N475" s="329"/>
      <c r="O475" s="329"/>
      <c r="P475" s="337"/>
      <c r="Q475" s="337"/>
      <c r="R475" s="337"/>
      <c r="S475" s="337"/>
      <c r="T475" s="337"/>
      <c r="U475" s="337"/>
      <c r="V475" s="337"/>
      <c r="W475" s="337"/>
      <c r="X475" s="339"/>
      <c r="Y475" s="339"/>
      <c r="Z475" s="339"/>
    </row>
    <row r="476" ht="16.5" customHeight="1" spans="1:26">
      <c r="A476" s="326"/>
      <c r="B476" s="327"/>
      <c r="C476" s="327"/>
      <c r="D476" s="330"/>
      <c r="E476" s="332" t="s">
        <v>427</v>
      </c>
      <c r="F476" s="330"/>
      <c r="G476" s="329">
        <v>9</v>
      </c>
      <c r="H476" s="329">
        <v>0.9</v>
      </c>
      <c r="I476" s="329">
        <v>0.22</v>
      </c>
      <c r="J476" s="329">
        <v>0.07</v>
      </c>
      <c r="K476" s="329"/>
      <c r="L476" s="329">
        <f>ROUND(G476*H476,4)</f>
        <v>8.1</v>
      </c>
      <c r="M476" s="329">
        <f>ROUND(G476*H476*I476,4)</f>
        <v>1.782</v>
      </c>
      <c r="N476" s="329">
        <f>ROUND(G476*H476*I476*J476,4)</f>
        <v>0.1247</v>
      </c>
      <c r="O476" s="329"/>
      <c r="P476" s="337"/>
      <c r="Q476" s="337"/>
      <c r="R476" s="337"/>
      <c r="S476" s="337"/>
      <c r="T476" s="337"/>
      <c r="U476" s="337"/>
      <c r="V476" s="337"/>
      <c r="W476" s="337"/>
      <c r="X476" s="339"/>
      <c r="Y476" s="339"/>
      <c r="Z476" s="339"/>
    </row>
    <row r="477" ht="16.5" customHeight="1" spans="1:26">
      <c r="A477" s="326"/>
      <c r="B477" s="327"/>
      <c r="C477" s="327"/>
      <c r="D477" s="330"/>
      <c r="E477" s="332" t="s">
        <v>428</v>
      </c>
      <c r="F477" s="330"/>
      <c r="G477" s="329">
        <v>3</v>
      </c>
      <c r="H477" s="329">
        <v>1.9</v>
      </c>
      <c r="I477" s="329">
        <v>0.22</v>
      </c>
      <c r="J477" s="329">
        <v>0.14</v>
      </c>
      <c r="K477" s="329"/>
      <c r="L477" s="329">
        <f>ROUND(G477*H477,4)</f>
        <v>5.7</v>
      </c>
      <c r="M477" s="329">
        <f>ROUND(G477*H477*I477,4)</f>
        <v>1.254</v>
      </c>
      <c r="N477" s="329">
        <f>ROUND(G477*H477*I477*J477,4)</f>
        <v>0.1756</v>
      </c>
      <c r="O477" s="329"/>
      <c r="P477" s="337"/>
      <c r="Q477" s="337"/>
      <c r="R477" s="337"/>
      <c r="S477" s="337"/>
      <c r="T477" s="337"/>
      <c r="U477" s="337"/>
      <c r="V477" s="337"/>
      <c r="W477" s="337"/>
      <c r="X477" s="339"/>
      <c r="Y477" s="339"/>
      <c r="Z477" s="339"/>
    </row>
    <row r="478" ht="16.5" customHeight="1" spans="1:26">
      <c r="A478" s="326"/>
      <c r="B478" s="327"/>
      <c r="C478" s="327"/>
      <c r="D478" s="330"/>
      <c r="E478" s="332" t="s">
        <v>429</v>
      </c>
      <c r="F478" s="330"/>
      <c r="G478" s="329">
        <v>3</v>
      </c>
      <c r="H478" s="329">
        <v>1.5</v>
      </c>
      <c r="I478" s="329">
        <v>0.22</v>
      </c>
      <c r="J478" s="329">
        <v>0.07</v>
      </c>
      <c r="K478" s="329"/>
      <c r="L478" s="329">
        <f>ROUND(G478*H478,4)</f>
        <v>4.5</v>
      </c>
      <c r="M478" s="329">
        <f>ROUND(G478*H478*I478,4)</f>
        <v>0.99</v>
      </c>
      <c r="N478" s="329">
        <f>ROUND(G478*H478*I478*J478,4)</f>
        <v>0.0693</v>
      </c>
      <c r="O478" s="329"/>
      <c r="P478" s="337"/>
      <c r="Q478" s="337"/>
      <c r="R478" s="337"/>
      <c r="S478" s="337"/>
      <c r="T478" s="337"/>
      <c r="U478" s="337"/>
      <c r="V478" s="337"/>
      <c r="W478" s="337"/>
      <c r="X478" s="339"/>
      <c r="Y478" s="339"/>
      <c r="Z478" s="339"/>
    </row>
    <row r="479" ht="16.5" customHeight="1" spans="1:26">
      <c r="A479" s="326"/>
      <c r="B479" s="327"/>
      <c r="C479" s="327"/>
      <c r="D479" s="330"/>
      <c r="E479" s="333" t="s">
        <v>219</v>
      </c>
      <c r="F479" s="330"/>
      <c r="G479" s="329"/>
      <c r="H479" s="329"/>
      <c r="I479" s="329"/>
      <c r="J479" s="329"/>
      <c r="K479" s="329"/>
      <c r="L479" s="329"/>
      <c r="M479" s="329"/>
      <c r="N479" s="329"/>
      <c r="O479" s="329"/>
      <c r="P479" s="337"/>
      <c r="Q479" s="337"/>
      <c r="R479" s="337"/>
      <c r="S479" s="337"/>
      <c r="T479" s="337"/>
      <c r="U479" s="337"/>
      <c r="V479" s="337"/>
      <c r="W479" s="337"/>
      <c r="X479" s="339"/>
      <c r="Y479" s="339"/>
      <c r="Z479" s="339"/>
    </row>
    <row r="480" ht="16.5" customHeight="1" spans="1:26">
      <c r="A480" s="326"/>
      <c r="B480" s="327"/>
      <c r="C480" s="327"/>
      <c r="D480" s="330"/>
      <c r="E480" s="332" t="s">
        <v>430</v>
      </c>
      <c r="F480" s="330"/>
      <c r="G480" s="329">
        <v>1</v>
      </c>
      <c r="H480" s="329">
        <v>1.2</v>
      </c>
      <c r="I480" s="329">
        <v>0.11</v>
      </c>
      <c r="J480" s="329">
        <v>0.14</v>
      </c>
      <c r="K480" s="329"/>
      <c r="L480" s="329">
        <f>ROUND(G480*H480,4)</f>
        <v>1.2</v>
      </c>
      <c r="M480" s="329">
        <f>ROUND(G480*H480*I480,4)</f>
        <v>0.132</v>
      </c>
      <c r="N480" s="329">
        <f>ROUND(G480*H480*I480*J480,4)</f>
        <v>0.0185</v>
      </c>
      <c r="O480" s="329"/>
      <c r="P480" s="337"/>
      <c r="Q480" s="337"/>
      <c r="R480" s="337"/>
      <c r="S480" s="337"/>
      <c r="T480" s="337"/>
      <c r="U480" s="337"/>
      <c r="V480" s="337"/>
      <c r="W480" s="337"/>
      <c r="X480" s="339"/>
      <c r="Y480" s="339"/>
      <c r="Z480" s="339"/>
    </row>
    <row r="481" ht="16.5" customHeight="1" spans="1:26">
      <c r="A481" s="326"/>
      <c r="B481" s="327"/>
      <c r="C481" s="327"/>
      <c r="D481" s="330"/>
      <c r="E481" s="332"/>
      <c r="F481" s="330"/>
      <c r="G481" s="329">
        <v>1</v>
      </c>
      <c r="H481" s="329">
        <v>1.2</v>
      </c>
      <c r="I481" s="329">
        <v>0.2</v>
      </c>
      <c r="J481" s="329">
        <v>0.1</v>
      </c>
      <c r="K481" s="329"/>
      <c r="L481" s="329">
        <f>ROUND(G481*H481,4)</f>
        <v>1.2</v>
      </c>
      <c r="M481" s="329">
        <f>ROUND(G481*H481*I481,4)</f>
        <v>0.24</v>
      </c>
      <c r="N481" s="329">
        <f>ROUND(G481*H481*I481*J481,4)</f>
        <v>0.024</v>
      </c>
      <c r="O481" s="329"/>
      <c r="P481" s="337"/>
      <c r="Q481" s="337"/>
      <c r="R481" s="337"/>
      <c r="S481" s="337"/>
      <c r="T481" s="337"/>
      <c r="U481" s="337"/>
      <c r="V481" s="337"/>
      <c r="W481" s="337"/>
      <c r="X481" s="339"/>
      <c r="Y481" s="339"/>
      <c r="Z481" s="339"/>
    </row>
    <row r="482" ht="37.5" customHeight="1" spans="1:30">
      <c r="A482" s="326">
        <v>25</v>
      </c>
      <c r="B482" s="327" t="s">
        <v>447</v>
      </c>
      <c r="C482" s="327" t="s">
        <v>448</v>
      </c>
      <c r="D482" s="330" t="s">
        <v>447</v>
      </c>
      <c r="E482" s="331" t="s">
        <v>449</v>
      </c>
      <c r="F482" s="330" t="s">
        <v>450</v>
      </c>
      <c r="G482" s="329"/>
      <c r="H482" s="329"/>
      <c r="I482" s="329"/>
      <c r="J482" s="329"/>
      <c r="K482" s="329"/>
      <c r="L482" s="329"/>
      <c r="M482" s="329"/>
      <c r="N482" s="329"/>
      <c r="O482" s="329">
        <v>13</v>
      </c>
      <c r="P482" s="337">
        <v>3353</v>
      </c>
      <c r="Q482" s="337"/>
      <c r="R482" s="337">
        <v>58481</v>
      </c>
      <c r="S482" s="337"/>
      <c r="T482" s="337">
        <f>ROUND(ROUND(O482,4)*P482,0)</f>
        <v>43589</v>
      </c>
      <c r="U482" s="337">
        <f>ROUND(ROUND(O482,4)*Q482,0)</f>
        <v>0</v>
      </c>
      <c r="V482" s="337">
        <f>ROUND(ROUND(O482,4)*R482,0)</f>
        <v>760253</v>
      </c>
      <c r="W482" s="337">
        <f>ROUND(ROUND(O482,4)*S482,0)</f>
        <v>0</v>
      </c>
      <c r="X482" s="339"/>
      <c r="Y482" s="339"/>
      <c r="Z482" s="339"/>
      <c r="AC482" s="324" t="s">
        <v>451</v>
      </c>
      <c r="AD482" s="324" t="s">
        <v>452</v>
      </c>
    </row>
    <row r="483" ht="37.5" customHeight="1" spans="1:30">
      <c r="A483" s="326">
        <v>26</v>
      </c>
      <c r="B483" s="327" t="s">
        <v>453</v>
      </c>
      <c r="C483" s="327" t="s">
        <v>448</v>
      </c>
      <c r="D483" s="330" t="s">
        <v>453</v>
      </c>
      <c r="E483" s="331" t="s">
        <v>454</v>
      </c>
      <c r="F483" s="330" t="s">
        <v>450</v>
      </c>
      <c r="G483" s="329"/>
      <c r="H483" s="329"/>
      <c r="I483" s="329"/>
      <c r="J483" s="329"/>
      <c r="K483" s="329"/>
      <c r="L483" s="329"/>
      <c r="M483" s="329"/>
      <c r="N483" s="329"/>
      <c r="O483" s="329">
        <v>5</v>
      </c>
      <c r="P483" s="337">
        <v>4694</v>
      </c>
      <c r="Q483" s="337"/>
      <c r="R483" s="337">
        <v>105265</v>
      </c>
      <c r="S483" s="337"/>
      <c r="T483" s="337">
        <f>ROUND(ROUND(O483,4)*P483,0)</f>
        <v>23470</v>
      </c>
      <c r="U483" s="337">
        <f>ROUND(ROUND(O483,4)*Q483,0)</f>
        <v>0</v>
      </c>
      <c r="V483" s="337">
        <f>ROUND(ROUND(O483,4)*R483,0)</f>
        <v>526325</v>
      </c>
      <c r="W483" s="337">
        <f>ROUND(ROUND(O483,4)*S483,0)</f>
        <v>0</v>
      </c>
      <c r="X483" s="339"/>
      <c r="Y483" s="339"/>
      <c r="Z483" s="339"/>
      <c r="AC483" s="324" t="s">
        <v>455</v>
      </c>
      <c r="AD483" s="324" t="s">
        <v>456</v>
      </c>
    </row>
    <row r="484" ht="37.5" customHeight="1" spans="1:30">
      <c r="A484" s="326">
        <v>27</v>
      </c>
      <c r="B484" s="327" t="s">
        <v>457</v>
      </c>
      <c r="C484" s="327" t="s">
        <v>448</v>
      </c>
      <c r="D484" s="330" t="s">
        <v>457</v>
      </c>
      <c r="E484" s="331" t="s">
        <v>458</v>
      </c>
      <c r="F484" s="330" t="s">
        <v>450</v>
      </c>
      <c r="G484" s="329"/>
      <c r="H484" s="329"/>
      <c r="I484" s="329"/>
      <c r="J484" s="329"/>
      <c r="K484" s="329"/>
      <c r="L484" s="329"/>
      <c r="M484" s="329"/>
      <c r="N484" s="329"/>
      <c r="O484" s="329">
        <v>1</v>
      </c>
      <c r="P484" s="337">
        <v>6705</v>
      </c>
      <c r="Q484" s="337"/>
      <c r="R484" s="337">
        <v>198835</v>
      </c>
      <c r="S484" s="337"/>
      <c r="T484" s="337">
        <f>ROUND(ROUND(O484,4)*P484,0)</f>
        <v>6705</v>
      </c>
      <c r="U484" s="337">
        <f>ROUND(ROUND(O484,4)*Q484,0)</f>
        <v>0</v>
      </c>
      <c r="V484" s="337">
        <f>ROUND(ROUND(O484,4)*R484,0)</f>
        <v>198835</v>
      </c>
      <c r="W484" s="337">
        <f>ROUND(ROUND(O484,4)*S484,0)</f>
        <v>0</v>
      </c>
      <c r="X484" s="339"/>
      <c r="Y484" s="339"/>
      <c r="Z484" s="339"/>
      <c r="AC484" s="324" t="s">
        <v>459</v>
      </c>
      <c r="AD484" s="324" t="s">
        <v>460</v>
      </c>
    </row>
    <row r="485" ht="37.5" customHeight="1" spans="1:37">
      <c r="A485" s="326">
        <v>28</v>
      </c>
      <c r="B485" s="327" t="s">
        <v>461</v>
      </c>
      <c r="C485" s="327"/>
      <c r="D485" s="330" t="s">
        <v>461</v>
      </c>
      <c r="E485" s="331" t="s">
        <v>462</v>
      </c>
      <c r="F485" s="330" t="s">
        <v>107</v>
      </c>
      <c r="G485" s="329"/>
      <c r="H485" s="329"/>
      <c r="I485" s="329"/>
      <c r="J485" s="329"/>
      <c r="K485" s="329"/>
      <c r="L485" s="329">
        <f>ROUND(SUM(L486:L487),4)</f>
        <v>1.9642</v>
      </c>
      <c r="M485" s="329">
        <f>ROUND(SUM(M486:M487),4)</f>
        <v>0.766</v>
      </c>
      <c r="N485" s="329"/>
      <c r="O485" s="329">
        <f>ROUND(SUM(N485:N487),4)</f>
        <v>0.0077</v>
      </c>
      <c r="P485" s="337">
        <v>3329920</v>
      </c>
      <c r="Q485" s="337"/>
      <c r="R485" s="337">
        <v>6659788</v>
      </c>
      <c r="S485" s="337"/>
      <c r="T485" s="337">
        <f>ROUND(ROUND(O485,4)*P485,0)</f>
        <v>25640</v>
      </c>
      <c r="U485" s="337">
        <f>ROUND(ROUND(O485,4)*Q485,0)</f>
        <v>0</v>
      </c>
      <c r="V485" s="337">
        <f>ROUND(ROUND(O485,4)*R485,0)</f>
        <v>51280</v>
      </c>
      <c r="W485" s="337">
        <f>ROUND(ROUND(O485,4)*S485,0)</f>
        <v>0</v>
      </c>
      <c r="X485" s="339"/>
      <c r="Y485" s="339"/>
      <c r="Z485" s="339"/>
      <c r="AA485" s="325" t="s">
        <v>47</v>
      </c>
      <c r="AB485" s="325" t="s">
        <v>48</v>
      </c>
      <c r="AC485" s="324" t="s">
        <v>463</v>
      </c>
      <c r="AD485" s="324" t="s">
        <v>464</v>
      </c>
      <c r="AK485" s="325" t="s">
        <v>51</v>
      </c>
    </row>
    <row r="486" ht="16.5" customHeight="1" spans="1:26">
      <c r="A486" s="326"/>
      <c r="B486" s="327"/>
      <c r="C486" s="327"/>
      <c r="D486" s="330"/>
      <c r="E486" s="332" t="s">
        <v>465</v>
      </c>
      <c r="F486" s="330"/>
      <c r="G486" s="329">
        <v>1</v>
      </c>
      <c r="H486" s="329">
        <v>0.3</v>
      </c>
      <c r="I486" s="329">
        <f>0.11+0.14*2</f>
        <v>0.39</v>
      </c>
      <c r="J486" s="329"/>
      <c r="K486" s="329">
        <v>0.01</v>
      </c>
      <c r="L486" s="329">
        <f>ROUND(G486*H486,4)</f>
        <v>0.3</v>
      </c>
      <c r="M486" s="329">
        <f>ROUND(G486*H486*I486,4)</f>
        <v>0.117</v>
      </c>
      <c r="N486" s="329">
        <f>ROUND(G486*H486*I486*K486,4)</f>
        <v>0.0012</v>
      </c>
      <c r="O486" s="329"/>
      <c r="P486" s="337"/>
      <c r="Q486" s="337"/>
      <c r="R486" s="337"/>
      <c r="S486" s="337"/>
      <c r="T486" s="337"/>
      <c r="U486" s="337"/>
      <c r="V486" s="337"/>
      <c r="W486" s="337"/>
      <c r="X486" s="339"/>
      <c r="Y486" s="339"/>
      <c r="Z486" s="339"/>
    </row>
    <row r="487" ht="16.5" customHeight="1" spans="1:26">
      <c r="A487" s="326"/>
      <c r="B487" s="327"/>
      <c r="C487" s="327"/>
      <c r="D487" s="330"/>
      <c r="E487" s="332"/>
      <c r="F487" s="330"/>
      <c r="G487" s="329">
        <v>1</v>
      </c>
      <c r="H487" s="329">
        <f>3.14*0.53</f>
        <v>1.6642</v>
      </c>
      <c r="I487" s="329">
        <f>0.11+0.14*2</f>
        <v>0.39</v>
      </c>
      <c r="J487" s="329"/>
      <c r="K487" s="329">
        <v>0.01</v>
      </c>
      <c r="L487" s="329">
        <f>ROUND(G487*H487,4)</f>
        <v>1.6642</v>
      </c>
      <c r="M487" s="329">
        <f>ROUND(G487*H487*I487,4)</f>
        <v>0.649</v>
      </c>
      <c r="N487" s="329">
        <f>ROUND(G487*H487*I487*K487,4)</f>
        <v>0.0065</v>
      </c>
      <c r="O487" s="329"/>
      <c r="P487" s="337"/>
      <c r="Q487" s="337"/>
      <c r="R487" s="337"/>
      <c r="S487" s="337"/>
      <c r="T487" s="337"/>
      <c r="U487" s="337"/>
      <c r="V487" s="337"/>
      <c r="W487" s="337"/>
      <c r="X487" s="339"/>
      <c r="Y487" s="339"/>
      <c r="Z487" s="339"/>
    </row>
    <row r="488" ht="48.75" customHeight="1" spans="1:37">
      <c r="A488" s="326">
        <v>29</v>
      </c>
      <c r="B488" s="327" t="s">
        <v>466</v>
      </c>
      <c r="C488" s="327"/>
      <c r="D488" s="330" t="s">
        <v>466</v>
      </c>
      <c r="E488" s="331" t="s">
        <v>467</v>
      </c>
      <c r="F488" s="330" t="s">
        <v>114</v>
      </c>
      <c r="G488" s="329"/>
      <c r="H488" s="329"/>
      <c r="I488" s="329"/>
      <c r="J488" s="329"/>
      <c r="K488" s="329"/>
      <c r="L488" s="329"/>
      <c r="M488" s="329"/>
      <c r="N488" s="329"/>
      <c r="O488" s="329">
        <f>ROUND(SUM(N488:N489),4)</f>
        <v>0.0068</v>
      </c>
      <c r="P488" s="337">
        <v>16497030</v>
      </c>
      <c r="Q488" s="337"/>
      <c r="R488" s="337">
        <v>5265839</v>
      </c>
      <c r="S488" s="337">
        <v>177143</v>
      </c>
      <c r="T488" s="337">
        <f>ROUND(ROUND(O488,4)*P488,0)</f>
        <v>112180</v>
      </c>
      <c r="U488" s="337">
        <f>ROUND(ROUND(O488,4)*Q488,0)</f>
        <v>0</v>
      </c>
      <c r="V488" s="337">
        <f>ROUND(ROUND(O488,4)*R488,0)</f>
        <v>35808</v>
      </c>
      <c r="W488" s="337">
        <f>ROUND(ROUND(O488,4)*S488,0)</f>
        <v>1205</v>
      </c>
      <c r="X488" s="339"/>
      <c r="Y488" s="339"/>
      <c r="Z488" s="339"/>
      <c r="AA488" s="325" t="s">
        <v>47</v>
      </c>
      <c r="AB488" s="325" t="s">
        <v>48</v>
      </c>
      <c r="AC488" s="324" t="s">
        <v>134</v>
      </c>
      <c r="AD488" s="324" t="s">
        <v>468</v>
      </c>
      <c r="AE488" s="324" t="s">
        <v>224</v>
      </c>
      <c r="AK488" s="325" t="s">
        <v>51</v>
      </c>
    </row>
    <row r="489" ht="16.5" customHeight="1" spans="1:26">
      <c r="A489" s="326"/>
      <c r="B489" s="327"/>
      <c r="C489" s="327"/>
      <c r="D489" s="330"/>
      <c r="E489" s="332" t="s">
        <v>469</v>
      </c>
      <c r="F489" s="330"/>
      <c r="G489" s="329"/>
      <c r="H489" s="329"/>
      <c r="I489" s="329"/>
      <c r="J489" s="329"/>
      <c r="K489" s="329"/>
      <c r="L489" s="329"/>
      <c r="M489" s="329"/>
      <c r="N489" s="329">
        <v>0.0068</v>
      </c>
      <c r="O489" s="329"/>
      <c r="P489" s="337"/>
      <c r="Q489" s="337"/>
      <c r="R489" s="337"/>
      <c r="S489" s="337"/>
      <c r="T489" s="337"/>
      <c r="U489" s="337"/>
      <c r="V489" s="337"/>
      <c r="W489" s="337"/>
      <c r="X489" s="339"/>
      <c r="Y489" s="339"/>
      <c r="Z489" s="339"/>
    </row>
    <row r="490" ht="48.75" customHeight="1" spans="1:37">
      <c r="A490" s="326">
        <v>30</v>
      </c>
      <c r="B490" s="327" t="s">
        <v>470</v>
      </c>
      <c r="C490" s="327" t="s">
        <v>413</v>
      </c>
      <c r="D490" s="330" t="s">
        <v>470</v>
      </c>
      <c r="E490" s="331" t="s">
        <v>471</v>
      </c>
      <c r="F490" s="330" t="s">
        <v>55</v>
      </c>
      <c r="G490" s="329"/>
      <c r="H490" s="329"/>
      <c r="I490" s="329"/>
      <c r="J490" s="329"/>
      <c r="K490" s="329"/>
      <c r="L490" s="329">
        <f>ROUND(SUM(L491:L493),4)</f>
        <v>1.9642</v>
      </c>
      <c r="M490" s="329">
        <f>ROUND(SUM(M491:M493),4)</f>
        <v>0.2161</v>
      </c>
      <c r="N490" s="329"/>
      <c r="O490" s="329">
        <f>ROUND(SUM(N490:N493),4)</f>
        <v>0.0302</v>
      </c>
      <c r="P490" s="337">
        <v>657131</v>
      </c>
      <c r="Q490" s="337"/>
      <c r="R490" s="337">
        <v>822787</v>
      </c>
      <c r="S490" s="337">
        <v>83950</v>
      </c>
      <c r="T490" s="337">
        <f>ROUND(ROUND(O490,4)*P490,0)</f>
        <v>19845</v>
      </c>
      <c r="U490" s="337">
        <f>ROUND(ROUND(O490,4)*Q490,0)</f>
        <v>0</v>
      </c>
      <c r="V490" s="337">
        <f>ROUND(ROUND(O490,4)*R490,0)</f>
        <v>24848</v>
      </c>
      <c r="W490" s="337">
        <f>ROUND(ROUND(O490,4)*S490,0)</f>
        <v>2535</v>
      </c>
      <c r="X490" s="339"/>
      <c r="Y490" s="339"/>
      <c r="Z490" s="339"/>
      <c r="AA490" s="325" t="s">
        <v>47</v>
      </c>
      <c r="AB490" s="325" t="s">
        <v>48</v>
      </c>
      <c r="AC490" s="324" t="s">
        <v>415</v>
      </c>
      <c r="AD490" s="324" t="s">
        <v>472</v>
      </c>
      <c r="AE490" s="324" t="s">
        <v>473</v>
      </c>
      <c r="AK490" s="325" t="s">
        <v>51</v>
      </c>
    </row>
    <row r="491" ht="16.5" customHeight="1" spans="1:26">
      <c r="A491" s="326"/>
      <c r="B491" s="327"/>
      <c r="C491" s="327"/>
      <c r="D491" s="330"/>
      <c r="E491" s="332" t="s">
        <v>474</v>
      </c>
      <c r="F491" s="330"/>
      <c r="G491" s="329">
        <v>1</v>
      </c>
      <c r="H491" s="329">
        <v>0.3</v>
      </c>
      <c r="I491" s="329">
        <v>0.11</v>
      </c>
      <c r="J491" s="329">
        <v>0.14</v>
      </c>
      <c r="K491" s="329"/>
      <c r="L491" s="329">
        <f>ROUND(G491*H491,4)</f>
        <v>0.3</v>
      </c>
      <c r="M491" s="329">
        <f>ROUND(G491*H491*I491,4)</f>
        <v>0.033</v>
      </c>
      <c r="N491" s="329">
        <f>ROUND(G491*H491*I491*J491,4)</f>
        <v>0.0046</v>
      </c>
      <c r="O491" s="329"/>
      <c r="P491" s="337"/>
      <c r="Q491" s="337"/>
      <c r="R491" s="337"/>
      <c r="S491" s="337"/>
      <c r="T491" s="337"/>
      <c r="U491" s="337"/>
      <c r="V491" s="337"/>
      <c r="W491" s="337"/>
      <c r="X491" s="339"/>
      <c r="Y491" s="339"/>
      <c r="Z491" s="339"/>
    </row>
    <row r="492" ht="16.5" customHeight="1" spans="1:26">
      <c r="A492" s="326"/>
      <c r="B492" s="327"/>
      <c r="C492" s="327"/>
      <c r="D492" s="330"/>
      <c r="E492" s="332"/>
      <c r="F492" s="330"/>
      <c r="G492" s="329">
        <v>1</v>
      </c>
      <c r="H492" s="329">
        <f>3.14*0.53</f>
        <v>1.6642</v>
      </c>
      <c r="I492" s="329">
        <v>0.11</v>
      </c>
      <c r="J492" s="329">
        <v>0.14</v>
      </c>
      <c r="K492" s="329"/>
      <c r="L492" s="329">
        <f>ROUND(G492*H492,4)</f>
        <v>1.6642</v>
      </c>
      <c r="M492" s="329">
        <f>ROUND(G492*H492*I492,4)</f>
        <v>0.1831</v>
      </c>
      <c r="N492" s="329">
        <f>ROUND(G492*H492*I492*J492,4)</f>
        <v>0.0256</v>
      </c>
      <c r="O492" s="329"/>
      <c r="P492" s="337"/>
      <c r="Q492" s="337"/>
      <c r="R492" s="337"/>
      <c r="S492" s="337"/>
      <c r="T492" s="337"/>
      <c r="U492" s="337"/>
      <c r="V492" s="337"/>
      <c r="W492" s="337"/>
      <c r="X492" s="339"/>
      <c r="Y492" s="339"/>
      <c r="Z492" s="339"/>
    </row>
    <row r="493" ht="16.5" customHeight="1" spans="1:26">
      <c r="A493" s="326"/>
      <c r="B493" s="327"/>
      <c r="C493" s="327"/>
      <c r="D493" s="330"/>
      <c r="E493" s="333" t="s">
        <v>475</v>
      </c>
      <c r="F493" s="330"/>
      <c r="G493" s="329"/>
      <c r="H493" s="329"/>
      <c r="I493" s="329"/>
      <c r="J493" s="329"/>
      <c r="K493" s="329"/>
      <c r="L493" s="329"/>
      <c r="M493" s="329"/>
      <c r="N493" s="329"/>
      <c r="O493" s="329"/>
      <c r="P493" s="337"/>
      <c r="Q493" s="337"/>
      <c r="R493" s="337"/>
      <c r="S493" s="337"/>
      <c r="T493" s="337"/>
      <c r="U493" s="337"/>
      <c r="V493" s="337"/>
      <c r="W493" s="337"/>
      <c r="X493" s="339"/>
      <c r="Y493" s="339"/>
      <c r="Z493" s="339"/>
    </row>
    <row r="494" ht="26.25" customHeight="1" spans="1:37">
      <c r="A494" s="326">
        <v>31</v>
      </c>
      <c r="B494" s="327" t="s">
        <v>476</v>
      </c>
      <c r="C494" s="327"/>
      <c r="D494" s="330" t="s">
        <v>476</v>
      </c>
      <c r="E494" s="331" t="s">
        <v>477</v>
      </c>
      <c r="F494" s="330" t="s">
        <v>107</v>
      </c>
      <c r="G494" s="329"/>
      <c r="H494" s="329"/>
      <c r="I494" s="329"/>
      <c r="J494" s="329"/>
      <c r="K494" s="329"/>
      <c r="L494" s="329">
        <f>ROUND(SUM(L495:L504),4)</f>
        <v>49.648</v>
      </c>
      <c r="M494" s="329">
        <f>ROUND(SUM(M495:M504),4)</f>
        <v>52.8998</v>
      </c>
      <c r="N494" s="329"/>
      <c r="O494" s="329">
        <f>ROUND(SUM(N494:N504),4)</f>
        <v>0.3524</v>
      </c>
      <c r="P494" s="337">
        <v>3889056</v>
      </c>
      <c r="Q494" s="337"/>
      <c r="R494" s="337">
        <v>10704316</v>
      </c>
      <c r="S494" s="337"/>
      <c r="T494" s="337">
        <f>ROUND(ROUND(O494,4)*P494,0)</f>
        <v>1370503</v>
      </c>
      <c r="U494" s="337">
        <f>ROUND(ROUND(O494,4)*Q494,0)</f>
        <v>0</v>
      </c>
      <c r="V494" s="337">
        <f>ROUND(ROUND(O494,4)*R494,0)</f>
        <v>3772201</v>
      </c>
      <c r="W494" s="337">
        <f>ROUND(ROUND(O494,4)*S494,0)</f>
        <v>0</v>
      </c>
      <c r="X494" s="339"/>
      <c r="Y494" s="339"/>
      <c r="Z494" s="339"/>
      <c r="AA494" s="325" t="s">
        <v>47</v>
      </c>
      <c r="AB494" s="325" t="s">
        <v>48</v>
      </c>
      <c r="AC494" s="324" t="s">
        <v>478</v>
      </c>
      <c r="AD494" s="324" t="s">
        <v>479</v>
      </c>
      <c r="AK494" s="325" t="s">
        <v>51</v>
      </c>
    </row>
    <row r="495" ht="16.5" customHeight="1" spans="1:26">
      <c r="A495" s="326"/>
      <c r="B495" s="327"/>
      <c r="C495" s="327"/>
      <c r="D495" s="330"/>
      <c r="E495" s="333" t="s">
        <v>480</v>
      </c>
      <c r="F495" s="330"/>
      <c r="G495" s="329"/>
      <c r="H495" s="329"/>
      <c r="I495" s="329"/>
      <c r="J495" s="329"/>
      <c r="K495" s="329"/>
      <c r="L495" s="329"/>
      <c r="M495" s="329"/>
      <c r="N495" s="329"/>
      <c r="O495" s="329"/>
      <c r="P495" s="337"/>
      <c r="Q495" s="337"/>
      <c r="R495" s="337"/>
      <c r="S495" s="337"/>
      <c r="T495" s="337"/>
      <c r="U495" s="337"/>
      <c r="V495" s="337"/>
      <c r="W495" s="337"/>
      <c r="X495" s="339"/>
      <c r="Y495" s="339"/>
      <c r="Z495" s="339"/>
    </row>
    <row r="496" ht="16.5" customHeight="1" spans="1:26">
      <c r="A496" s="326"/>
      <c r="B496" s="327"/>
      <c r="C496" s="327"/>
      <c r="D496" s="330"/>
      <c r="E496" s="332" t="s">
        <v>481</v>
      </c>
      <c r="F496" s="330"/>
      <c r="G496" s="329">
        <v>2</v>
      </c>
      <c r="H496" s="329">
        <f>1.276+2.359</f>
        <v>3.635</v>
      </c>
      <c r="I496" s="329">
        <v>1.11</v>
      </c>
      <c r="J496" s="329"/>
      <c r="K496" s="329">
        <v>0.01</v>
      </c>
      <c r="L496" s="329">
        <f>ROUND(G496*H496,4)</f>
        <v>7.27</v>
      </c>
      <c r="M496" s="329">
        <f>ROUND(G496*H496*I496,4)</f>
        <v>8.0697</v>
      </c>
      <c r="N496" s="329">
        <f>ROUND(G496*H496*I496*K496,4)</f>
        <v>0.0807</v>
      </c>
      <c r="O496" s="329"/>
      <c r="P496" s="337"/>
      <c r="Q496" s="337"/>
      <c r="R496" s="337"/>
      <c r="S496" s="337"/>
      <c r="T496" s="337"/>
      <c r="U496" s="337"/>
      <c r="V496" s="337"/>
      <c r="W496" s="337"/>
      <c r="X496" s="339"/>
      <c r="Y496" s="339"/>
      <c r="Z496" s="339"/>
    </row>
    <row r="497" ht="16.5" customHeight="1" spans="1:26">
      <c r="A497" s="326"/>
      <c r="B497" s="327"/>
      <c r="C497" s="327"/>
      <c r="D497" s="330"/>
      <c r="E497" s="332"/>
      <c r="F497" s="330"/>
      <c r="G497" s="329">
        <v>1</v>
      </c>
      <c r="H497" s="329">
        <v>0.302</v>
      </c>
      <c r="I497" s="329">
        <v>1.11</v>
      </c>
      <c r="J497" s="329"/>
      <c r="K497" s="329">
        <v>0.01</v>
      </c>
      <c r="L497" s="329">
        <f>ROUND(G497*H497,4)</f>
        <v>0.302</v>
      </c>
      <c r="M497" s="329">
        <f>ROUND(G497*H497*I497,4)</f>
        <v>0.3352</v>
      </c>
      <c r="N497" s="329">
        <f>ROUND(G497*H497*I497*K497,4)</f>
        <v>0.0034</v>
      </c>
      <c r="O497" s="329"/>
      <c r="P497" s="337"/>
      <c r="Q497" s="337"/>
      <c r="R497" s="337"/>
      <c r="S497" s="337"/>
      <c r="T497" s="337"/>
      <c r="U497" s="337"/>
      <c r="V497" s="337"/>
      <c r="W497" s="337"/>
      <c r="X497" s="339"/>
      <c r="Y497" s="339"/>
      <c r="Z497" s="339"/>
    </row>
    <row r="498" ht="16.5" customHeight="1" spans="1:26">
      <c r="A498" s="326"/>
      <c r="B498" s="327"/>
      <c r="C498" s="327"/>
      <c r="D498" s="330"/>
      <c r="E498" s="332"/>
      <c r="F498" s="330"/>
      <c r="G498" s="329">
        <v>2</v>
      </c>
      <c r="H498" s="329">
        <v>2.359</v>
      </c>
      <c r="I498" s="329"/>
      <c r="J498" s="329">
        <v>0.12</v>
      </c>
      <c r="K498" s="329">
        <v>0.01</v>
      </c>
      <c r="L498" s="329">
        <f>ROUND(G498*H498,4)</f>
        <v>4.718</v>
      </c>
      <c r="M498" s="329">
        <f>ROUND(G498*H498,4)</f>
        <v>4.718</v>
      </c>
      <c r="N498" s="329">
        <f>ROUND(G498*H498*J498*K498,4)</f>
        <v>0.0057</v>
      </c>
      <c r="O498" s="329"/>
      <c r="P498" s="337"/>
      <c r="Q498" s="337"/>
      <c r="R498" s="337"/>
      <c r="S498" s="337"/>
      <c r="T498" s="337"/>
      <c r="U498" s="337"/>
      <c r="V498" s="337"/>
      <c r="W498" s="337"/>
      <c r="X498" s="339"/>
      <c r="Y498" s="339"/>
      <c r="Z498" s="339"/>
    </row>
    <row r="499" ht="16.5" customHeight="1" spans="1:26">
      <c r="A499" s="326"/>
      <c r="B499" s="327"/>
      <c r="C499" s="327"/>
      <c r="D499" s="330"/>
      <c r="E499" s="332"/>
      <c r="F499" s="330"/>
      <c r="G499" s="329">
        <v>1</v>
      </c>
      <c r="H499" s="329">
        <f>H497</f>
        <v>0.302</v>
      </c>
      <c r="I499" s="329"/>
      <c r="J499" s="329">
        <v>0.12</v>
      </c>
      <c r="K499" s="329">
        <v>0.01</v>
      </c>
      <c r="L499" s="329">
        <f>ROUND(G499*H499,4)</f>
        <v>0.302</v>
      </c>
      <c r="M499" s="329">
        <f>ROUND(G499*H499,4)</f>
        <v>0.302</v>
      </c>
      <c r="N499" s="329">
        <f>ROUND(G499*H499*J499*K499,4)</f>
        <v>0.0004</v>
      </c>
      <c r="O499" s="329"/>
      <c r="P499" s="337"/>
      <c r="Q499" s="337"/>
      <c r="R499" s="337"/>
      <c r="S499" s="337"/>
      <c r="T499" s="337"/>
      <c r="U499" s="337"/>
      <c r="V499" s="337"/>
      <c r="W499" s="337"/>
      <c r="X499" s="339"/>
      <c r="Y499" s="339"/>
      <c r="Z499" s="339"/>
    </row>
    <row r="500" ht="16.5" customHeight="1" spans="1:26">
      <c r="A500" s="326"/>
      <c r="B500" s="327"/>
      <c r="C500" s="327"/>
      <c r="D500" s="330"/>
      <c r="E500" s="333" t="s">
        <v>482</v>
      </c>
      <c r="F500" s="330"/>
      <c r="G500" s="329"/>
      <c r="H500" s="329"/>
      <c r="I500" s="329"/>
      <c r="J500" s="329"/>
      <c r="K500" s="329"/>
      <c r="L500" s="329"/>
      <c r="M500" s="329"/>
      <c r="N500" s="329"/>
      <c r="O500" s="329"/>
      <c r="P500" s="337"/>
      <c r="Q500" s="337"/>
      <c r="R500" s="337"/>
      <c r="S500" s="337"/>
      <c r="T500" s="337"/>
      <c r="U500" s="337"/>
      <c r="V500" s="337"/>
      <c r="W500" s="337"/>
      <c r="X500" s="339"/>
      <c r="Y500" s="339"/>
      <c r="Z500" s="339"/>
    </row>
    <row r="501" ht="16.5" customHeight="1" spans="1:26">
      <c r="A501" s="326"/>
      <c r="B501" s="327"/>
      <c r="C501" s="327"/>
      <c r="D501" s="330"/>
      <c r="E501" s="332" t="s">
        <v>481</v>
      </c>
      <c r="F501" s="330"/>
      <c r="G501" s="329">
        <v>6</v>
      </c>
      <c r="H501" s="329">
        <f>2.36+0.524+0.63</f>
        <v>3.514</v>
      </c>
      <c r="I501" s="329">
        <v>1.11</v>
      </c>
      <c r="J501" s="329"/>
      <c r="K501" s="329">
        <v>0.01</v>
      </c>
      <c r="L501" s="329">
        <f>ROUND(G501*H501,4)</f>
        <v>21.084</v>
      </c>
      <c r="M501" s="329">
        <f>ROUND(G501*H501*I501,4)</f>
        <v>23.4032</v>
      </c>
      <c r="N501" s="329">
        <f>ROUND(G501*H501*I501*K501,4)</f>
        <v>0.234</v>
      </c>
      <c r="O501" s="329"/>
      <c r="P501" s="337"/>
      <c r="Q501" s="337"/>
      <c r="R501" s="337"/>
      <c r="S501" s="337"/>
      <c r="T501" s="337"/>
      <c r="U501" s="337"/>
      <c r="V501" s="337"/>
      <c r="W501" s="337"/>
      <c r="X501" s="339"/>
      <c r="Y501" s="339"/>
      <c r="Z501" s="339"/>
    </row>
    <row r="502" ht="16.5" customHeight="1" spans="1:26">
      <c r="A502" s="326"/>
      <c r="B502" s="327"/>
      <c r="C502" s="327"/>
      <c r="D502" s="330"/>
      <c r="E502" s="332"/>
      <c r="F502" s="330"/>
      <c r="G502" s="329">
        <v>3</v>
      </c>
      <c r="H502" s="329">
        <v>0.302</v>
      </c>
      <c r="I502" s="329">
        <v>1.11</v>
      </c>
      <c r="J502" s="329"/>
      <c r="K502" s="329">
        <v>0.01</v>
      </c>
      <c r="L502" s="329">
        <f>ROUND(G502*H502,4)</f>
        <v>0.906</v>
      </c>
      <c r="M502" s="329">
        <f>ROUND(G502*H502*I502,4)</f>
        <v>1.0057</v>
      </c>
      <c r="N502" s="329">
        <f>ROUND(G502*H502*I502*K502,4)</f>
        <v>0.0101</v>
      </c>
      <c r="O502" s="329"/>
      <c r="P502" s="337"/>
      <c r="Q502" s="337"/>
      <c r="R502" s="337"/>
      <c r="S502" s="337"/>
      <c r="T502" s="337"/>
      <c r="U502" s="337"/>
      <c r="V502" s="337"/>
      <c r="W502" s="337"/>
      <c r="X502" s="339"/>
      <c r="Y502" s="339"/>
      <c r="Z502" s="339"/>
    </row>
    <row r="503" ht="16.5" customHeight="1" spans="1:26">
      <c r="A503" s="326"/>
      <c r="B503" s="327"/>
      <c r="C503" s="327"/>
      <c r="D503" s="330"/>
      <c r="E503" s="332"/>
      <c r="F503" s="330"/>
      <c r="G503" s="329">
        <v>6</v>
      </c>
      <c r="H503" s="329">
        <v>2.36</v>
      </c>
      <c r="I503" s="329"/>
      <c r="J503" s="329">
        <v>0.12</v>
      </c>
      <c r="K503" s="329">
        <v>0.01</v>
      </c>
      <c r="L503" s="329">
        <f>ROUND(G503*H503,4)</f>
        <v>14.16</v>
      </c>
      <c r="M503" s="329">
        <f>ROUND(G503*H503,4)</f>
        <v>14.16</v>
      </c>
      <c r="N503" s="329">
        <f>ROUND(G503*H503*J503*K503,4)</f>
        <v>0.017</v>
      </c>
      <c r="O503" s="329"/>
      <c r="P503" s="337"/>
      <c r="Q503" s="337"/>
      <c r="R503" s="337"/>
      <c r="S503" s="337"/>
      <c r="T503" s="337"/>
      <c r="U503" s="337"/>
      <c r="V503" s="337"/>
      <c r="W503" s="337"/>
      <c r="X503" s="339"/>
      <c r="Y503" s="339"/>
      <c r="Z503" s="339"/>
    </row>
    <row r="504" ht="16.5" customHeight="1" spans="1:26">
      <c r="A504" s="326"/>
      <c r="B504" s="327"/>
      <c r="C504" s="327"/>
      <c r="D504" s="330"/>
      <c r="E504" s="332"/>
      <c r="F504" s="330"/>
      <c r="G504" s="329">
        <v>3</v>
      </c>
      <c r="H504" s="329">
        <f>H502</f>
        <v>0.302</v>
      </c>
      <c r="I504" s="329"/>
      <c r="J504" s="329">
        <v>0.12</v>
      </c>
      <c r="K504" s="329">
        <v>0.01</v>
      </c>
      <c r="L504" s="329">
        <f>ROUND(G504*H504,4)</f>
        <v>0.906</v>
      </c>
      <c r="M504" s="329">
        <f>ROUND(G504*H504,4)</f>
        <v>0.906</v>
      </c>
      <c r="N504" s="329">
        <f>ROUND(G504*H504*J504*K504,4)</f>
        <v>0.0011</v>
      </c>
      <c r="O504" s="329"/>
      <c r="P504" s="337"/>
      <c r="Q504" s="337"/>
      <c r="R504" s="337"/>
      <c r="S504" s="337"/>
      <c r="T504" s="337"/>
      <c r="U504" s="337"/>
      <c r="V504" s="337"/>
      <c r="W504" s="337"/>
      <c r="X504" s="339"/>
      <c r="Y504" s="339"/>
      <c r="Z504" s="339"/>
    </row>
    <row r="505" ht="37.5" customHeight="1" spans="1:37">
      <c r="A505" s="326">
        <v>32</v>
      </c>
      <c r="B505" s="327" t="s">
        <v>483</v>
      </c>
      <c r="C505" s="327"/>
      <c r="D505" s="330" t="s">
        <v>483</v>
      </c>
      <c r="E505" s="331" t="s">
        <v>484</v>
      </c>
      <c r="F505" s="330" t="s">
        <v>114</v>
      </c>
      <c r="G505" s="329"/>
      <c r="H505" s="329"/>
      <c r="I505" s="329"/>
      <c r="J505" s="329"/>
      <c r="K505" s="329"/>
      <c r="L505" s="329"/>
      <c r="M505" s="329"/>
      <c r="N505" s="329"/>
      <c r="O505" s="329">
        <f>ROUND(SUM(N505:N507),4)</f>
        <v>0.2776</v>
      </c>
      <c r="P505" s="337">
        <v>16497030</v>
      </c>
      <c r="Q505" s="337"/>
      <c r="R505" s="337">
        <v>4408408</v>
      </c>
      <c r="S505" s="337">
        <v>177143</v>
      </c>
      <c r="T505" s="337">
        <f>ROUND(ROUND(O505,4)*P505,0)</f>
        <v>4579576</v>
      </c>
      <c r="U505" s="337">
        <f>ROUND(ROUND(O505,4)*Q505,0)</f>
        <v>0</v>
      </c>
      <c r="V505" s="337">
        <f>ROUND(ROUND(O505,4)*R505,0)</f>
        <v>1223774</v>
      </c>
      <c r="W505" s="337">
        <f>ROUND(ROUND(O505,4)*S505,0)</f>
        <v>49175</v>
      </c>
      <c r="X505" s="339"/>
      <c r="Y505" s="339"/>
      <c r="Z505" s="339"/>
      <c r="AA505" s="325" t="s">
        <v>47</v>
      </c>
      <c r="AB505" s="325" t="s">
        <v>48</v>
      </c>
      <c r="AC505" s="324" t="s">
        <v>134</v>
      </c>
      <c r="AD505" s="324" t="s">
        <v>485</v>
      </c>
      <c r="AE505" s="324" t="s">
        <v>224</v>
      </c>
      <c r="AK505" s="325" t="s">
        <v>51</v>
      </c>
    </row>
    <row r="506" ht="26.25" customHeight="1" spans="1:26">
      <c r="A506" s="326"/>
      <c r="B506" s="327"/>
      <c r="C506" s="327"/>
      <c r="D506" s="330"/>
      <c r="E506" s="332" t="s">
        <v>486</v>
      </c>
      <c r="F506" s="330"/>
      <c r="G506" s="329"/>
      <c r="H506" s="329"/>
      <c r="I506" s="329"/>
      <c r="J506" s="329"/>
      <c r="K506" s="329"/>
      <c r="L506" s="329"/>
      <c r="M506" s="329"/>
      <c r="N506" s="329">
        <v>0.0694</v>
      </c>
      <c r="O506" s="329"/>
      <c r="P506" s="337"/>
      <c r="Q506" s="337"/>
      <c r="R506" s="337"/>
      <c r="S506" s="337"/>
      <c r="T506" s="337"/>
      <c r="U506" s="337"/>
      <c r="V506" s="337"/>
      <c r="W506" s="337"/>
      <c r="X506" s="339"/>
      <c r="Y506" s="339"/>
      <c r="Z506" s="339"/>
    </row>
    <row r="507" ht="26.25" customHeight="1" spans="1:26">
      <c r="A507" s="326"/>
      <c r="B507" s="327"/>
      <c r="C507" s="327"/>
      <c r="D507" s="330"/>
      <c r="E507" s="332" t="s">
        <v>487</v>
      </c>
      <c r="F507" s="330"/>
      <c r="G507" s="329"/>
      <c r="H507" s="329"/>
      <c r="I507" s="329"/>
      <c r="J507" s="329"/>
      <c r="K507" s="329"/>
      <c r="L507" s="329"/>
      <c r="M507" s="329"/>
      <c r="N507" s="329">
        <v>0.2082</v>
      </c>
      <c r="O507" s="329"/>
      <c r="P507" s="337"/>
      <c r="Q507" s="337"/>
      <c r="R507" s="337"/>
      <c r="S507" s="337"/>
      <c r="T507" s="337"/>
      <c r="U507" s="337"/>
      <c r="V507" s="337"/>
      <c r="W507" s="337"/>
      <c r="X507" s="339"/>
      <c r="Y507" s="339"/>
      <c r="Z507" s="339"/>
    </row>
    <row r="508" ht="48.75" customHeight="1" spans="1:37">
      <c r="A508" s="326">
        <v>33</v>
      </c>
      <c r="B508" s="327" t="s">
        <v>399</v>
      </c>
      <c r="C508" s="327" t="s">
        <v>156</v>
      </c>
      <c r="D508" s="330" t="s">
        <v>399</v>
      </c>
      <c r="E508" s="331" t="s">
        <v>488</v>
      </c>
      <c r="F508" s="330" t="s">
        <v>55</v>
      </c>
      <c r="G508" s="329"/>
      <c r="H508" s="329"/>
      <c r="I508" s="329"/>
      <c r="J508" s="329"/>
      <c r="K508" s="329"/>
      <c r="L508" s="329">
        <f>ROUND(SUM(L509:L513),4)</f>
        <v>28.656</v>
      </c>
      <c r="M508" s="329">
        <f>ROUND(SUM(M509:M513),4)</f>
        <v>31.8081</v>
      </c>
      <c r="N508" s="329"/>
      <c r="O508" s="329">
        <f>ROUND(SUM(N508:N513),4)</f>
        <v>3.817</v>
      </c>
      <c r="P508" s="337">
        <v>1161619</v>
      </c>
      <c r="Q508" s="337"/>
      <c r="R508" s="337">
        <v>554299</v>
      </c>
      <c r="S508" s="337">
        <v>161656</v>
      </c>
      <c r="T508" s="337">
        <f>ROUND(ROUND(O508,4)*P508,0)</f>
        <v>4433900</v>
      </c>
      <c r="U508" s="337">
        <f>ROUND(ROUND(O508,4)*Q508,0)</f>
        <v>0</v>
      </c>
      <c r="V508" s="337">
        <f>ROUND(ROUND(O508,4)*R508,0)</f>
        <v>2115759</v>
      </c>
      <c r="W508" s="337">
        <f>ROUND(ROUND(O508,4)*S508,0)</f>
        <v>617041</v>
      </c>
      <c r="X508" s="339"/>
      <c r="Y508" s="339"/>
      <c r="Z508" s="339"/>
      <c r="AA508" s="325" t="s">
        <v>47</v>
      </c>
      <c r="AB508" s="325" t="s">
        <v>48</v>
      </c>
      <c r="AC508" s="324" t="s">
        <v>158</v>
      </c>
      <c r="AD508" s="324" t="s">
        <v>401</v>
      </c>
      <c r="AE508" s="324" t="s">
        <v>402</v>
      </c>
      <c r="AK508" s="325" t="s">
        <v>51</v>
      </c>
    </row>
    <row r="509" ht="16.5" customHeight="1" spans="1:26">
      <c r="A509" s="326"/>
      <c r="B509" s="327"/>
      <c r="C509" s="327"/>
      <c r="D509" s="330"/>
      <c r="E509" s="333" t="s">
        <v>480</v>
      </c>
      <c r="F509" s="330"/>
      <c r="G509" s="329"/>
      <c r="H509" s="329"/>
      <c r="I509" s="329"/>
      <c r="J509" s="329"/>
      <c r="K509" s="329"/>
      <c r="L509" s="329"/>
      <c r="M509" s="329"/>
      <c r="N509" s="329"/>
      <c r="O509" s="329"/>
      <c r="P509" s="337"/>
      <c r="Q509" s="337"/>
      <c r="R509" s="337"/>
      <c r="S509" s="337"/>
      <c r="T509" s="337"/>
      <c r="U509" s="337"/>
      <c r="V509" s="337"/>
      <c r="W509" s="337"/>
      <c r="X509" s="339"/>
      <c r="Y509" s="339"/>
      <c r="Z509" s="339"/>
    </row>
    <row r="510" ht="16.5" customHeight="1" spans="1:26">
      <c r="A510" s="326"/>
      <c r="B510" s="327"/>
      <c r="C510" s="327"/>
      <c r="D510" s="330"/>
      <c r="E510" s="332" t="s">
        <v>481</v>
      </c>
      <c r="F510" s="330"/>
      <c r="G510" s="329">
        <v>2</v>
      </c>
      <c r="H510" s="329">
        <f>H496</f>
        <v>3.635</v>
      </c>
      <c r="I510" s="329">
        <v>1.11</v>
      </c>
      <c r="J510" s="329">
        <v>0.12</v>
      </c>
      <c r="K510" s="329"/>
      <c r="L510" s="329">
        <f>ROUND(G510*H510,4)</f>
        <v>7.27</v>
      </c>
      <c r="M510" s="329">
        <f>ROUND(G510*H510*I510,4)</f>
        <v>8.0697</v>
      </c>
      <c r="N510" s="329">
        <f>ROUND(G510*H510*I510*J510,4)</f>
        <v>0.9684</v>
      </c>
      <c r="O510" s="329"/>
      <c r="P510" s="337"/>
      <c r="Q510" s="337"/>
      <c r="R510" s="337"/>
      <c r="S510" s="337"/>
      <c r="T510" s="337"/>
      <c r="U510" s="337"/>
      <c r="V510" s="337"/>
      <c r="W510" s="337"/>
      <c r="X510" s="339"/>
      <c r="Y510" s="339"/>
      <c r="Z510" s="339"/>
    </row>
    <row r="511" ht="16.5" customHeight="1" spans="1:26">
      <c r="A511" s="326"/>
      <c r="B511" s="327"/>
      <c r="C511" s="327"/>
      <c r="D511" s="330"/>
      <c r="E511" s="332"/>
      <c r="F511" s="330"/>
      <c r="G511" s="329">
        <v>1</v>
      </c>
      <c r="H511" s="329">
        <f>H497</f>
        <v>0.302</v>
      </c>
      <c r="I511" s="329">
        <v>1.11</v>
      </c>
      <c r="J511" s="329">
        <v>0.12</v>
      </c>
      <c r="K511" s="329"/>
      <c r="L511" s="329">
        <f>ROUND(G511*H511,4)</f>
        <v>0.302</v>
      </c>
      <c r="M511" s="329">
        <f>ROUND(G511*H511*I511,4)</f>
        <v>0.3352</v>
      </c>
      <c r="N511" s="329">
        <f>ROUND(G511*H511*I511*J511,4)</f>
        <v>0.0402</v>
      </c>
      <c r="O511" s="329"/>
      <c r="P511" s="337"/>
      <c r="Q511" s="337"/>
      <c r="R511" s="337"/>
      <c r="S511" s="337"/>
      <c r="T511" s="337"/>
      <c r="U511" s="337"/>
      <c r="V511" s="337"/>
      <c r="W511" s="337"/>
      <c r="X511" s="339"/>
      <c r="Y511" s="339"/>
      <c r="Z511" s="339"/>
    </row>
    <row r="512" ht="16.5" customHeight="1" spans="1:26">
      <c r="A512" s="326"/>
      <c r="B512" s="327"/>
      <c r="C512" s="327"/>
      <c r="D512" s="330"/>
      <c r="E512" s="333" t="s">
        <v>482</v>
      </c>
      <c r="F512" s="330"/>
      <c r="G512" s="329"/>
      <c r="H512" s="329"/>
      <c r="I512" s="329"/>
      <c r="J512" s="329"/>
      <c r="K512" s="329"/>
      <c r="L512" s="329"/>
      <c r="M512" s="329"/>
      <c r="N512" s="329"/>
      <c r="O512" s="329"/>
      <c r="P512" s="337"/>
      <c r="Q512" s="337"/>
      <c r="R512" s="337"/>
      <c r="S512" s="337"/>
      <c r="T512" s="337"/>
      <c r="U512" s="337"/>
      <c r="V512" s="337"/>
      <c r="W512" s="337"/>
      <c r="X512" s="339"/>
      <c r="Y512" s="339"/>
      <c r="Z512" s="339"/>
    </row>
    <row r="513" ht="16.5" customHeight="1" spans="1:26">
      <c r="A513" s="326"/>
      <c r="B513" s="327"/>
      <c r="C513" s="327"/>
      <c r="D513" s="330"/>
      <c r="E513" s="332" t="s">
        <v>481</v>
      </c>
      <c r="F513" s="330"/>
      <c r="G513" s="329">
        <v>6</v>
      </c>
      <c r="H513" s="329">
        <f>H501</f>
        <v>3.514</v>
      </c>
      <c r="I513" s="329">
        <v>1.11</v>
      </c>
      <c r="J513" s="329">
        <v>0.12</v>
      </c>
      <c r="K513" s="329"/>
      <c r="L513" s="329">
        <f>ROUND(G513*H513,4)</f>
        <v>21.084</v>
      </c>
      <c r="M513" s="329">
        <f>ROUND(G513*H513*I513,4)</f>
        <v>23.4032</v>
      </c>
      <c r="N513" s="329">
        <f>ROUND(G513*H513*I513*J513,4)</f>
        <v>2.8084</v>
      </c>
      <c r="O513" s="329"/>
      <c r="P513" s="337"/>
      <c r="Q513" s="337"/>
      <c r="R513" s="337"/>
      <c r="S513" s="337"/>
      <c r="T513" s="337"/>
      <c r="U513" s="337"/>
      <c r="V513" s="337"/>
      <c r="W513" s="337"/>
      <c r="X513" s="339"/>
      <c r="Y513" s="339"/>
      <c r="Z513" s="339"/>
    </row>
    <row r="514" ht="27" customHeight="1" spans="1:37">
      <c r="A514" s="326">
        <v>34</v>
      </c>
      <c r="B514" s="327" t="s">
        <v>489</v>
      </c>
      <c r="C514" s="327"/>
      <c r="D514" s="352" t="s">
        <v>489</v>
      </c>
      <c r="E514" s="331" t="s">
        <v>490</v>
      </c>
      <c r="F514" s="330" t="s">
        <v>46</v>
      </c>
      <c r="G514" s="329">
        <v>3</v>
      </c>
      <c r="H514" s="329">
        <f>H502</f>
        <v>0.302</v>
      </c>
      <c r="I514" s="329">
        <v>1.11</v>
      </c>
      <c r="J514" s="329">
        <v>0.12</v>
      </c>
      <c r="K514" s="329"/>
      <c r="L514" s="329">
        <f>ROUND(G514*H514,4)</f>
        <v>0.906</v>
      </c>
      <c r="M514" s="329">
        <f>ROUND(G514*H514*I514,4)</f>
        <v>1.0057</v>
      </c>
      <c r="N514" s="329">
        <f>ROUND(G514*H514*I514*J514,4)</f>
        <v>0.1207</v>
      </c>
      <c r="O514" s="329"/>
      <c r="P514" s="337"/>
      <c r="Q514" s="337"/>
      <c r="R514" s="337"/>
      <c r="S514" s="337">
        <v>13858929</v>
      </c>
      <c r="T514" s="337">
        <f>ROUND(ROUND(O514,4)*P514,0)</f>
        <v>0</v>
      </c>
      <c r="U514" s="337">
        <f>ROUND(ROUND(O514,4)*Q514,0)</f>
        <v>0</v>
      </c>
      <c r="V514" s="337">
        <f>ROUND(ROUND(O514,4)*R514,0)</f>
        <v>0</v>
      </c>
      <c r="W514" s="337">
        <f>ROUND(ROUND(O514,4)*S514,0)</f>
        <v>0</v>
      </c>
      <c r="X514" s="339"/>
      <c r="Y514" s="339"/>
      <c r="Z514" s="339"/>
      <c r="AA514" s="325" t="s">
        <v>47</v>
      </c>
      <c r="AB514" s="325" t="s">
        <v>48</v>
      </c>
      <c r="AE514" s="324" t="s">
        <v>491</v>
      </c>
      <c r="AK514" s="325" t="s">
        <v>51</v>
      </c>
    </row>
    <row r="515" ht="38.25" customHeight="1" spans="1:37">
      <c r="A515" s="326">
        <v>35</v>
      </c>
      <c r="B515" s="327" t="s">
        <v>492</v>
      </c>
      <c r="C515" s="327"/>
      <c r="D515" s="352" t="s">
        <v>492</v>
      </c>
      <c r="E515" s="331" t="s">
        <v>493</v>
      </c>
      <c r="F515" s="330" t="s">
        <v>46</v>
      </c>
      <c r="G515" s="329"/>
      <c r="H515" s="329"/>
      <c r="I515" s="329"/>
      <c r="J515" s="329"/>
      <c r="K515" s="329"/>
      <c r="L515" s="329"/>
      <c r="M515" s="329"/>
      <c r="N515" s="329"/>
      <c r="O515" s="329"/>
      <c r="P515" s="337"/>
      <c r="Q515" s="337"/>
      <c r="R515" s="337"/>
      <c r="S515" s="340">
        <f>1180837*Z515</f>
        <v>30701762</v>
      </c>
      <c r="T515" s="337">
        <f>ROUND(ROUND(O515,4)*P515,0)</f>
        <v>0</v>
      </c>
      <c r="U515" s="337">
        <f>ROUND(ROUND(O515,4)*Q515,0)</f>
        <v>0</v>
      </c>
      <c r="V515" s="337">
        <f>ROUND(ROUND(O515,4)*R515,0)</f>
        <v>0</v>
      </c>
      <c r="W515" s="337">
        <f>ROUND(ROUND(O515,4)*S515,0)</f>
        <v>0</v>
      </c>
      <c r="X515" s="339"/>
      <c r="Y515" s="339"/>
      <c r="Z515" s="353">
        <v>26</v>
      </c>
      <c r="AA515" s="325" t="s">
        <v>47</v>
      </c>
      <c r="AB515" s="325" t="s">
        <v>48</v>
      </c>
      <c r="AE515" s="324" t="s">
        <v>494</v>
      </c>
      <c r="AK515" s="325" t="s">
        <v>51</v>
      </c>
    </row>
    <row r="516" ht="27.75" customHeight="1" spans="1:26">
      <c r="A516" s="346"/>
      <c r="B516" s="347"/>
      <c r="C516" s="347"/>
      <c r="D516" s="348" t="s">
        <v>207</v>
      </c>
      <c r="E516" s="348" t="s">
        <v>495</v>
      </c>
      <c r="F516" s="348"/>
      <c r="G516" s="349"/>
      <c r="H516" s="349"/>
      <c r="I516" s="349"/>
      <c r="J516" s="349"/>
      <c r="K516" s="349"/>
      <c r="L516" s="349"/>
      <c r="M516" s="349"/>
      <c r="N516" s="349"/>
      <c r="O516" s="350"/>
      <c r="P516" s="350"/>
      <c r="Q516" s="351"/>
      <c r="R516" s="350"/>
      <c r="S516" s="350"/>
      <c r="T516" s="350">
        <f>ROUND(SUM(T131:T515),0)</f>
        <v>177933663</v>
      </c>
      <c r="U516" s="351">
        <f>ROUND(SUM(U131:U515),0)</f>
        <v>0</v>
      </c>
      <c r="V516" s="350">
        <f>ROUND(SUM(V131:V515),0)</f>
        <v>90738659</v>
      </c>
      <c r="W516" s="350">
        <f>ROUND(SUM(W131:W515),0)</f>
        <v>15325046</v>
      </c>
      <c r="X516" s="350"/>
      <c r="Y516" s="350"/>
      <c r="Z516" s="350"/>
    </row>
  </sheetData>
  <mergeCells count="16">
    <mergeCell ref="A1:W1"/>
    <mergeCell ref="A2:W2"/>
    <mergeCell ref="A3:W3"/>
    <mergeCell ref="B4:D4"/>
    <mergeCell ref="H4:J4"/>
    <mergeCell ref="P4:S4"/>
    <mergeCell ref="T4:W4"/>
    <mergeCell ref="X4:Z4"/>
    <mergeCell ref="AA4:AB4"/>
    <mergeCell ref="AC4:AE4"/>
    <mergeCell ref="AF4:AH4"/>
    <mergeCell ref="AI4:AJ4"/>
    <mergeCell ref="A4:A5"/>
    <mergeCell ref="E4:E5"/>
    <mergeCell ref="F4:F5"/>
    <mergeCell ref="O4:O5"/>
  </mergeCells>
  <pageMargins left="0.54" right="0" top="0.28" bottom="0.208333333333333" header="0.572916666666667" footer="0.40625"/>
  <pageSetup paperSize="9" scale="65" orientation="landscape" blackAndWhite="1" useFirstPageNumber="1" horizontalDpi="600" verticalDpi="600"/>
  <headerFooter alignWithMargins="0">
    <oddFooter>&amp;C&amp;P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"/>
  <sheetViews>
    <sheetView zoomScaleSheetLayoutView="60" workbookViewId="0">
      <pane ySplit="4" topLeftCell="A35" activePane="bottomLeft" state="frozenSplit"/>
      <selection/>
      <selection pane="bottomLeft" activeCell="A1" sqref="A1:W1"/>
    </sheetView>
  </sheetViews>
  <sheetFormatPr defaultColWidth="10" defaultRowHeight="15" customHeight="1"/>
  <cols>
    <col min="1" max="1" width="10" customWidth="1"/>
    <col min="2" max="2" width="12.5" customWidth="1"/>
    <col min="3" max="3" width="48.3333333333333" customWidth="1"/>
    <col min="4" max="4" width="11.6666666666667" customWidth="1"/>
    <col min="5" max="6" width="15" customWidth="1"/>
    <col min="7" max="7" width="9.16666666666667" customWidth="1"/>
    <col min="8" max="8" width="8.33333333333333" customWidth="1"/>
    <col min="9" max="9" width="15" customWidth="1"/>
    <col min="10" max="11" width="33.3333333333333" customWidth="1"/>
  </cols>
  <sheetData>
    <row r="1" ht="26.25" customHeight="1" spans="1:1">
      <c r="A1" s="6" t="s">
        <v>496</v>
      </c>
    </row>
    <row r="2" ht="30" customHeight="1" spans="1:1">
      <c r="A2" s="7" t="s">
        <v>1</v>
      </c>
    </row>
    <row r="4" ht="26.25" customHeight="1" spans="1:11">
      <c r="A4" s="42" t="s">
        <v>3</v>
      </c>
      <c r="B4" s="43" t="s">
        <v>4</v>
      </c>
      <c r="C4" s="43" t="s">
        <v>497</v>
      </c>
      <c r="D4" s="43" t="s">
        <v>6</v>
      </c>
      <c r="E4" s="43" t="s">
        <v>498</v>
      </c>
      <c r="F4" s="43" t="s">
        <v>499</v>
      </c>
      <c r="G4" s="43" t="s">
        <v>9</v>
      </c>
      <c r="H4" s="43" t="s">
        <v>500</v>
      </c>
      <c r="I4" s="43" t="s">
        <v>501</v>
      </c>
      <c r="J4" s="43" t="s">
        <v>502</v>
      </c>
      <c r="K4" s="43" t="s">
        <v>503</v>
      </c>
    </row>
    <row r="5" ht="16.5" customHeight="1" spans="1:11">
      <c r="A5" s="313" t="s">
        <v>504</v>
      </c>
      <c r="B5" s="314"/>
      <c r="C5" s="314" t="s">
        <v>505</v>
      </c>
      <c r="D5" s="314"/>
      <c r="E5" s="315"/>
      <c r="F5" s="316"/>
      <c r="G5" s="317"/>
      <c r="H5" s="318"/>
      <c r="I5" s="315"/>
      <c r="J5" s="318"/>
      <c r="K5" s="323"/>
    </row>
    <row r="6" ht="55.5" customHeight="1" spans="1:11">
      <c r="A6" s="241">
        <v>1</v>
      </c>
      <c r="B6" s="47" t="s">
        <v>506</v>
      </c>
      <c r="C6" s="104" t="s">
        <v>507</v>
      </c>
      <c r="D6" s="47" t="s">
        <v>55</v>
      </c>
      <c r="E6" s="279">
        <v>55000</v>
      </c>
      <c r="F6" s="319">
        <v>73730</v>
      </c>
      <c r="G6" s="117">
        <v>1</v>
      </c>
      <c r="H6" s="107" t="b">
        <v>1</v>
      </c>
      <c r="I6" s="279">
        <v>81103</v>
      </c>
      <c r="J6" s="302" t="s">
        <v>508</v>
      </c>
      <c r="K6" s="128" t="s">
        <v>509</v>
      </c>
    </row>
    <row r="7" ht="55.5" customHeight="1" spans="1:11">
      <c r="A7" s="241">
        <v>2</v>
      </c>
      <c r="B7" s="47" t="s">
        <v>510</v>
      </c>
      <c r="C7" s="104" t="s">
        <v>511</v>
      </c>
      <c r="D7" s="47" t="s">
        <v>55</v>
      </c>
      <c r="E7" s="279">
        <v>61000</v>
      </c>
      <c r="F7" s="319">
        <v>84840</v>
      </c>
      <c r="G7" s="117">
        <v>1</v>
      </c>
      <c r="H7" s="107" t="b">
        <v>1</v>
      </c>
      <c r="I7" s="279">
        <v>93324</v>
      </c>
      <c r="J7" s="302" t="s">
        <v>512</v>
      </c>
      <c r="K7" s="128" t="s">
        <v>509</v>
      </c>
    </row>
    <row r="8" ht="55.5" customHeight="1" spans="1:11">
      <c r="A8" s="241">
        <v>3</v>
      </c>
      <c r="B8" s="47" t="s">
        <v>513</v>
      </c>
      <c r="C8" s="104" t="s">
        <v>514</v>
      </c>
      <c r="D8" s="47" t="s">
        <v>55</v>
      </c>
      <c r="E8" s="279">
        <v>189000</v>
      </c>
      <c r="F8" s="319">
        <v>258560</v>
      </c>
      <c r="G8" s="117">
        <v>1</v>
      </c>
      <c r="H8" s="107" t="b">
        <v>1</v>
      </c>
      <c r="I8" s="279">
        <v>284416</v>
      </c>
      <c r="J8" s="302" t="s">
        <v>515</v>
      </c>
      <c r="K8" s="128" t="s">
        <v>509</v>
      </c>
    </row>
    <row r="9" ht="17.25" customHeight="1" spans="1:11">
      <c r="A9" s="241">
        <v>4</v>
      </c>
      <c r="B9" s="47" t="s">
        <v>516</v>
      </c>
      <c r="C9" s="104" t="s">
        <v>517</v>
      </c>
      <c r="D9" s="47" t="s">
        <v>518</v>
      </c>
      <c r="E9" s="279">
        <v>16190</v>
      </c>
      <c r="F9" s="320">
        <v>16190</v>
      </c>
      <c r="G9" s="117">
        <v>1</v>
      </c>
      <c r="H9" s="107" t="b">
        <v>1</v>
      </c>
      <c r="I9" s="279">
        <v>17809</v>
      </c>
      <c r="J9" s="302" t="s">
        <v>519</v>
      </c>
      <c r="K9" s="128" t="s">
        <v>520</v>
      </c>
    </row>
    <row r="10" ht="17.25" customHeight="1" spans="1:11">
      <c r="A10" s="241">
        <v>5</v>
      </c>
      <c r="B10" s="47" t="s">
        <v>521</v>
      </c>
      <c r="C10" s="104" t="s">
        <v>522</v>
      </c>
      <c r="D10" s="47" t="s">
        <v>518</v>
      </c>
      <c r="E10" s="279">
        <v>19000</v>
      </c>
      <c r="F10" s="319">
        <v>20000</v>
      </c>
      <c r="G10" s="117">
        <v>1</v>
      </c>
      <c r="H10" s="107" t="b">
        <v>1</v>
      </c>
      <c r="I10" s="279">
        <v>22000</v>
      </c>
      <c r="J10" s="302" t="s">
        <v>523</v>
      </c>
      <c r="K10" s="128" t="s">
        <v>520</v>
      </c>
    </row>
    <row r="11" ht="17.25" customHeight="1" spans="1:11">
      <c r="A11" s="241">
        <v>6</v>
      </c>
      <c r="B11" s="47" t="s">
        <v>524</v>
      </c>
      <c r="C11" s="104" t="s">
        <v>525</v>
      </c>
      <c r="D11" s="47" t="s">
        <v>526</v>
      </c>
      <c r="E11" s="279">
        <v>15500</v>
      </c>
      <c r="F11" s="320">
        <v>15500</v>
      </c>
      <c r="G11" s="117">
        <v>1</v>
      </c>
      <c r="H11" s="107" t="b">
        <v>1</v>
      </c>
      <c r="I11" s="279">
        <v>17050</v>
      </c>
      <c r="J11" s="302" t="str">
        <f>""</f>
        <v/>
      </c>
      <c r="K11" s="128" t="s">
        <v>520</v>
      </c>
    </row>
    <row r="12" ht="17.25" customHeight="1" spans="1:11">
      <c r="A12" s="241">
        <v>7</v>
      </c>
      <c r="B12" s="47" t="s">
        <v>527</v>
      </c>
      <c r="C12" s="104" t="s">
        <v>528</v>
      </c>
      <c r="D12" s="47" t="s">
        <v>55</v>
      </c>
      <c r="E12" s="279">
        <v>214000</v>
      </c>
      <c r="F12" s="319">
        <v>260000</v>
      </c>
      <c r="G12" s="117">
        <v>1</v>
      </c>
      <c r="H12" s="107" t="b">
        <v>1</v>
      </c>
      <c r="I12" s="279">
        <v>235400</v>
      </c>
      <c r="J12" s="302" t="s">
        <v>529</v>
      </c>
      <c r="K12" s="128" t="s">
        <v>520</v>
      </c>
    </row>
    <row r="13" ht="55.5" customHeight="1" spans="1:11">
      <c r="A13" s="241">
        <v>8</v>
      </c>
      <c r="B13" s="47" t="s">
        <v>530</v>
      </c>
      <c r="C13" s="104" t="s">
        <v>531</v>
      </c>
      <c r="D13" s="47" t="s">
        <v>55</v>
      </c>
      <c r="E13" s="279">
        <v>186000</v>
      </c>
      <c r="F13" s="319">
        <v>227000</v>
      </c>
      <c r="G13" s="117">
        <v>1</v>
      </c>
      <c r="H13" s="107" t="b">
        <v>1</v>
      </c>
      <c r="I13" s="279">
        <v>249700</v>
      </c>
      <c r="J13" s="302" t="s">
        <v>532</v>
      </c>
      <c r="K13" s="128" t="s">
        <v>509</v>
      </c>
    </row>
    <row r="14" ht="17.25" customHeight="1" spans="1:11">
      <c r="A14" s="241">
        <v>9</v>
      </c>
      <c r="B14" s="47" t="s">
        <v>533</v>
      </c>
      <c r="C14" s="104" t="s">
        <v>534</v>
      </c>
      <c r="D14" s="47" t="s">
        <v>526</v>
      </c>
      <c r="E14" s="279">
        <v>15000</v>
      </c>
      <c r="F14" s="320">
        <v>15000</v>
      </c>
      <c r="G14" s="117">
        <v>1</v>
      </c>
      <c r="H14" s="107" t="b">
        <v>1</v>
      </c>
      <c r="I14" s="279">
        <v>16500</v>
      </c>
      <c r="J14" s="302" t="s">
        <v>535</v>
      </c>
      <c r="K14" s="128" t="s">
        <v>520</v>
      </c>
    </row>
    <row r="15" ht="17.25" customHeight="1" spans="1:11">
      <c r="A15" s="241">
        <v>10</v>
      </c>
      <c r="B15" s="47" t="s">
        <v>536</v>
      </c>
      <c r="C15" s="104" t="s">
        <v>537</v>
      </c>
      <c r="D15" s="47" t="s">
        <v>518</v>
      </c>
      <c r="E15" s="279">
        <v>19000</v>
      </c>
      <c r="F15" s="319">
        <v>20000</v>
      </c>
      <c r="G15" s="117">
        <v>1</v>
      </c>
      <c r="H15" s="107" t="b">
        <v>1</v>
      </c>
      <c r="I15" s="279">
        <v>20900</v>
      </c>
      <c r="J15" s="302" t="s">
        <v>538</v>
      </c>
      <c r="K15" s="128" t="s">
        <v>520</v>
      </c>
    </row>
    <row r="16" ht="17.25" customHeight="1" spans="1:11">
      <c r="A16" s="241">
        <v>11</v>
      </c>
      <c r="B16" s="47" t="s">
        <v>539</v>
      </c>
      <c r="C16" s="104" t="s">
        <v>540</v>
      </c>
      <c r="D16" s="47" t="s">
        <v>450</v>
      </c>
      <c r="E16" s="279">
        <v>3000</v>
      </c>
      <c r="F16" s="320">
        <v>3000</v>
      </c>
      <c r="G16" s="117">
        <v>1</v>
      </c>
      <c r="H16" s="107" t="b">
        <v>1</v>
      </c>
      <c r="I16" s="279">
        <v>3300</v>
      </c>
      <c r="J16" s="302" t="s">
        <v>541</v>
      </c>
      <c r="K16" s="128" t="s">
        <v>520</v>
      </c>
    </row>
    <row r="17" ht="42.75" customHeight="1" spans="1:11">
      <c r="A17" s="241">
        <v>12</v>
      </c>
      <c r="B17" s="47" t="s">
        <v>542</v>
      </c>
      <c r="C17" s="104" t="s">
        <v>543</v>
      </c>
      <c r="D17" s="47" t="s">
        <v>526</v>
      </c>
      <c r="E17" s="279">
        <v>1314</v>
      </c>
      <c r="F17" s="320">
        <v>1314</v>
      </c>
      <c r="G17" s="117">
        <v>1</v>
      </c>
      <c r="H17" s="107" t="b">
        <v>1</v>
      </c>
      <c r="I17" s="279">
        <v>1445</v>
      </c>
      <c r="J17" s="302" t="s">
        <v>544</v>
      </c>
      <c r="K17" s="128" t="s">
        <v>545</v>
      </c>
    </row>
    <row r="18" ht="17.25" customHeight="1" spans="1:11">
      <c r="A18" s="241">
        <v>13</v>
      </c>
      <c r="B18" s="47" t="s">
        <v>546</v>
      </c>
      <c r="C18" s="104" t="s">
        <v>547</v>
      </c>
      <c r="D18" s="47" t="s">
        <v>55</v>
      </c>
      <c r="E18" s="279">
        <v>2000000</v>
      </c>
      <c r="F18" s="320">
        <v>2000000</v>
      </c>
      <c r="G18" s="117">
        <v>1</v>
      </c>
      <c r="H18" s="107" t="b">
        <v>1</v>
      </c>
      <c r="I18" s="279">
        <v>2200000</v>
      </c>
      <c r="J18" s="302" t="s">
        <v>548</v>
      </c>
      <c r="K18" s="128" t="s">
        <v>520</v>
      </c>
    </row>
    <row r="19" ht="17.25" customHeight="1" spans="1:11">
      <c r="A19" s="241">
        <v>14</v>
      </c>
      <c r="B19" s="47" t="s">
        <v>549</v>
      </c>
      <c r="C19" s="104" t="s">
        <v>550</v>
      </c>
      <c r="D19" s="47" t="s">
        <v>55</v>
      </c>
      <c r="E19" s="279">
        <v>2000000</v>
      </c>
      <c r="F19" s="320">
        <v>2000000</v>
      </c>
      <c r="G19" s="117">
        <v>1</v>
      </c>
      <c r="H19" s="107" t="b">
        <v>1</v>
      </c>
      <c r="I19" s="279">
        <v>2200000</v>
      </c>
      <c r="J19" s="302" t="s">
        <v>551</v>
      </c>
      <c r="K19" s="128" t="s">
        <v>520</v>
      </c>
    </row>
    <row r="20" ht="17.25" customHeight="1" spans="1:11">
      <c r="A20" s="241">
        <v>15</v>
      </c>
      <c r="B20" s="47" t="s">
        <v>552</v>
      </c>
      <c r="C20" s="104" t="s">
        <v>553</v>
      </c>
      <c r="D20" s="47" t="s">
        <v>55</v>
      </c>
      <c r="E20" s="279">
        <v>2000000</v>
      </c>
      <c r="F20" s="320">
        <v>2000000</v>
      </c>
      <c r="G20" s="117">
        <v>1</v>
      </c>
      <c r="H20" s="107" t="b">
        <v>1</v>
      </c>
      <c r="I20" s="279">
        <v>2200000</v>
      </c>
      <c r="J20" s="302" t="s">
        <v>551</v>
      </c>
      <c r="K20" s="128" t="s">
        <v>520</v>
      </c>
    </row>
    <row r="21" ht="17.25" customHeight="1" spans="1:11">
      <c r="A21" s="241">
        <v>16</v>
      </c>
      <c r="B21" s="47" t="s">
        <v>554</v>
      </c>
      <c r="C21" s="104" t="s">
        <v>555</v>
      </c>
      <c r="D21" s="47" t="s">
        <v>55</v>
      </c>
      <c r="E21" s="279">
        <v>2000000</v>
      </c>
      <c r="F21" s="320">
        <v>2000000</v>
      </c>
      <c r="G21" s="117">
        <v>1</v>
      </c>
      <c r="H21" s="107" t="b">
        <v>1</v>
      </c>
      <c r="I21" s="279">
        <v>2200000</v>
      </c>
      <c r="J21" s="302" t="s">
        <v>556</v>
      </c>
      <c r="K21" s="128" t="s">
        <v>520</v>
      </c>
    </row>
    <row r="22" ht="17.25" customHeight="1" spans="1:11">
      <c r="A22" s="241">
        <v>17</v>
      </c>
      <c r="B22" s="47" t="s">
        <v>557</v>
      </c>
      <c r="C22" s="104" t="s">
        <v>558</v>
      </c>
      <c r="D22" s="47" t="s">
        <v>55</v>
      </c>
      <c r="E22" s="279">
        <v>2000000</v>
      </c>
      <c r="F22" s="320">
        <v>2000000</v>
      </c>
      <c r="G22" s="117">
        <v>1</v>
      </c>
      <c r="H22" s="107" t="b">
        <v>1</v>
      </c>
      <c r="I22" s="279">
        <v>2200000</v>
      </c>
      <c r="J22" s="302" t="s">
        <v>559</v>
      </c>
      <c r="K22" s="128" t="s">
        <v>520</v>
      </c>
    </row>
    <row r="23" ht="17.25" customHeight="1" spans="1:11">
      <c r="A23" s="241">
        <v>18</v>
      </c>
      <c r="B23" s="47" t="s">
        <v>560</v>
      </c>
      <c r="C23" s="104" t="s">
        <v>561</v>
      </c>
      <c r="D23" s="47" t="s">
        <v>55</v>
      </c>
      <c r="E23" s="279">
        <v>2000000</v>
      </c>
      <c r="F23" s="320">
        <v>2000000</v>
      </c>
      <c r="G23" s="117">
        <v>1</v>
      </c>
      <c r="H23" s="107" t="b">
        <v>1</v>
      </c>
      <c r="I23" s="279">
        <v>2200000</v>
      </c>
      <c r="J23" s="302" t="s">
        <v>559</v>
      </c>
      <c r="K23" s="128" t="s">
        <v>520</v>
      </c>
    </row>
    <row r="24" ht="17.25" customHeight="1" spans="1:11">
      <c r="A24" s="241">
        <v>19</v>
      </c>
      <c r="B24" s="47" t="s">
        <v>562</v>
      </c>
      <c r="C24" s="104" t="s">
        <v>563</v>
      </c>
      <c r="D24" s="47" t="s">
        <v>518</v>
      </c>
      <c r="E24" s="279">
        <v>0</v>
      </c>
      <c r="F24" s="319">
        <v>69000</v>
      </c>
      <c r="G24" s="117">
        <v>1</v>
      </c>
      <c r="H24" s="107" t="b">
        <v>1</v>
      </c>
      <c r="I24" s="279">
        <v>0</v>
      </c>
      <c r="J24" s="302" t="s">
        <v>564</v>
      </c>
      <c r="K24" s="128" t="s">
        <v>520</v>
      </c>
    </row>
    <row r="25" ht="17.25" customHeight="1" spans="1:11">
      <c r="A25" s="241">
        <v>20</v>
      </c>
      <c r="B25" s="47" t="s">
        <v>565</v>
      </c>
      <c r="C25" s="104" t="s">
        <v>566</v>
      </c>
      <c r="D25" s="47" t="s">
        <v>567</v>
      </c>
      <c r="E25" s="279">
        <v>4.5</v>
      </c>
      <c r="F25" s="319">
        <v>8</v>
      </c>
      <c r="G25" s="117">
        <v>1</v>
      </c>
      <c r="H25" s="107" t="b">
        <v>1</v>
      </c>
      <c r="I25" s="279">
        <v>8.8</v>
      </c>
      <c r="J25" s="302" t="s">
        <v>568</v>
      </c>
      <c r="K25" s="128" t="s">
        <v>520</v>
      </c>
    </row>
    <row r="26" ht="55.5" customHeight="1" spans="1:11">
      <c r="A26" s="241">
        <v>21</v>
      </c>
      <c r="B26" s="47" t="s">
        <v>569</v>
      </c>
      <c r="C26" s="104" t="s">
        <v>570</v>
      </c>
      <c r="D26" s="47" t="s">
        <v>518</v>
      </c>
      <c r="E26" s="279">
        <v>18600</v>
      </c>
      <c r="F26" s="319">
        <v>19800</v>
      </c>
      <c r="G26" s="117">
        <v>1</v>
      </c>
      <c r="H26" s="107" t="b">
        <v>1</v>
      </c>
      <c r="I26" s="279">
        <v>21780</v>
      </c>
      <c r="J26" s="302" t="s">
        <v>571</v>
      </c>
      <c r="K26" s="128" t="s">
        <v>509</v>
      </c>
    </row>
    <row r="27" ht="55.5" customHeight="1" spans="1:11">
      <c r="A27" s="241">
        <v>22</v>
      </c>
      <c r="B27" s="47" t="s">
        <v>572</v>
      </c>
      <c r="C27" s="104" t="s">
        <v>573</v>
      </c>
      <c r="D27" s="47" t="s">
        <v>518</v>
      </c>
      <c r="E27" s="279">
        <v>16010</v>
      </c>
      <c r="F27" s="321">
        <v>12900</v>
      </c>
      <c r="G27" s="117">
        <v>1</v>
      </c>
      <c r="H27" s="107" t="b">
        <v>1</v>
      </c>
      <c r="I27" s="279">
        <v>14190</v>
      </c>
      <c r="J27" s="302" t="s">
        <v>574</v>
      </c>
      <c r="K27" s="128" t="s">
        <v>509</v>
      </c>
    </row>
    <row r="28" ht="55.5" customHeight="1" spans="1:11">
      <c r="A28" s="241">
        <v>23</v>
      </c>
      <c r="B28" s="47" t="s">
        <v>575</v>
      </c>
      <c r="C28" s="104" t="s">
        <v>576</v>
      </c>
      <c r="D28" s="47" t="s">
        <v>518</v>
      </c>
      <c r="E28" s="279">
        <v>15718</v>
      </c>
      <c r="F28" s="321">
        <v>13300</v>
      </c>
      <c r="G28" s="117">
        <v>1</v>
      </c>
      <c r="H28" s="107" t="b">
        <v>1</v>
      </c>
      <c r="I28" s="279">
        <v>14630</v>
      </c>
      <c r="J28" s="302" t="s">
        <v>577</v>
      </c>
      <c r="K28" s="128" t="s">
        <v>509</v>
      </c>
    </row>
    <row r="29" ht="17.25" customHeight="1" spans="1:11">
      <c r="A29" s="241">
        <v>24</v>
      </c>
      <c r="B29" s="47" t="s">
        <v>578</v>
      </c>
      <c r="C29" s="104" t="s">
        <v>579</v>
      </c>
      <c r="D29" s="47" t="s">
        <v>518</v>
      </c>
      <c r="E29" s="279">
        <v>15718</v>
      </c>
      <c r="F29" s="321">
        <v>13300</v>
      </c>
      <c r="G29" s="117">
        <v>1</v>
      </c>
      <c r="H29" s="107" t="b">
        <v>1</v>
      </c>
      <c r="I29" s="279">
        <v>17289.8</v>
      </c>
      <c r="J29" s="302" t="s">
        <v>580</v>
      </c>
      <c r="K29" s="128" t="s">
        <v>520</v>
      </c>
    </row>
    <row r="30" ht="17.25" customHeight="1" spans="1:11">
      <c r="A30" s="241">
        <v>25</v>
      </c>
      <c r="B30" s="47" t="s">
        <v>581</v>
      </c>
      <c r="C30" s="104" t="s">
        <v>582</v>
      </c>
      <c r="D30" s="47" t="s">
        <v>583</v>
      </c>
      <c r="E30" s="279">
        <v>0</v>
      </c>
      <c r="F30" s="319">
        <v>200000</v>
      </c>
      <c r="G30" s="117">
        <v>1</v>
      </c>
      <c r="H30" s="107" t="b">
        <v>1</v>
      </c>
      <c r="I30" s="279">
        <v>220000</v>
      </c>
      <c r="J30" s="302" t="s">
        <v>584</v>
      </c>
      <c r="K30" s="128" t="s">
        <v>520</v>
      </c>
    </row>
    <row r="31" ht="55.5" customHeight="1" spans="1:11">
      <c r="A31" s="241">
        <v>26</v>
      </c>
      <c r="B31" s="47" t="s">
        <v>246</v>
      </c>
      <c r="C31" s="104" t="s">
        <v>585</v>
      </c>
      <c r="D31" s="47" t="s">
        <v>55</v>
      </c>
      <c r="E31" s="279">
        <v>716454</v>
      </c>
      <c r="F31" s="319">
        <v>1100000</v>
      </c>
      <c r="G31" s="117">
        <v>1</v>
      </c>
      <c r="H31" s="107" t="b">
        <v>1</v>
      </c>
      <c r="I31" s="279">
        <v>1210000</v>
      </c>
      <c r="J31" s="302" t="s">
        <v>586</v>
      </c>
      <c r="K31" s="128" t="s">
        <v>509</v>
      </c>
    </row>
    <row r="32" ht="55.5" customHeight="1" spans="1:11">
      <c r="A32" s="241">
        <v>27</v>
      </c>
      <c r="B32" s="47" t="s">
        <v>156</v>
      </c>
      <c r="C32" s="104" t="s">
        <v>585</v>
      </c>
      <c r="D32" s="47" t="s">
        <v>55</v>
      </c>
      <c r="E32" s="279">
        <v>1133120.6</v>
      </c>
      <c r="F32" s="321">
        <v>1100000</v>
      </c>
      <c r="G32" s="117">
        <v>1</v>
      </c>
      <c r="H32" s="107" t="b">
        <v>1</v>
      </c>
      <c r="I32" s="279">
        <v>1210000</v>
      </c>
      <c r="J32" s="302" t="s">
        <v>586</v>
      </c>
      <c r="K32" s="128" t="s">
        <v>509</v>
      </c>
    </row>
    <row r="33" ht="55.5" customHeight="1" spans="1:11">
      <c r="A33" s="251">
        <v>28</v>
      </c>
      <c r="B33" s="252" t="s">
        <v>587</v>
      </c>
      <c r="C33" s="111" t="s">
        <v>588</v>
      </c>
      <c r="D33" s="252" t="s">
        <v>518</v>
      </c>
      <c r="E33" s="288">
        <v>1045</v>
      </c>
      <c r="F33" s="322">
        <v>1140</v>
      </c>
      <c r="G33" s="120">
        <v>1</v>
      </c>
      <c r="H33" s="114" t="b">
        <v>1</v>
      </c>
      <c r="I33" s="288">
        <v>1254</v>
      </c>
      <c r="J33" s="41" t="s">
        <v>589</v>
      </c>
      <c r="K33" s="130" t="s">
        <v>509</v>
      </c>
    </row>
    <row r="34" ht="16.5" customHeight="1" spans="1:11">
      <c r="A34" s="313" t="s">
        <v>590</v>
      </c>
      <c r="B34" s="314"/>
      <c r="C34" s="314" t="s">
        <v>591</v>
      </c>
      <c r="D34" s="314"/>
      <c r="E34" s="315"/>
      <c r="F34" s="316"/>
      <c r="G34" s="317"/>
      <c r="H34" s="318"/>
      <c r="I34" s="315"/>
      <c r="J34" s="318"/>
      <c r="K34" s="323"/>
    </row>
    <row r="35" ht="17.25" customHeight="1" spans="1:11">
      <c r="A35" s="241">
        <v>1</v>
      </c>
      <c r="B35" s="47" t="s">
        <v>592</v>
      </c>
      <c r="C35" s="104" t="s">
        <v>593</v>
      </c>
      <c r="D35" s="47" t="s">
        <v>594</v>
      </c>
      <c r="E35" s="279">
        <v>199123</v>
      </c>
      <c r="F35" s="319">
        <v>205597</v>
      </c>
      <c r="G35" s="117">
        <v>1</v>
      </c>
      <c r="H35" s="107" t="b">
        <v>1</v>
      </c>
      <c r="I35" s="279"/>
      <c r="J35" s="302" t="s">
        <v>595</v>
      </c>
      <c r="K35" s="128" t="s">
        <v>520</v>
      </c>
    </row>
    <row r="36" ht="17.25" customHeight="1" spans="1:11">
      <c r="A36" s="241">
        <v>2</v>
      </c>
      <c r="B36" s="47" t="s">
        <v>596</v>
      </c>
      <c r="C36" s="104" t="s">
        <v>597</v>
      </c>
      <c r="D36" s="47" t="s">
        <v>594</v>
      </c>
      <c r="E36" s="279">
        <v>216523</v>
      </c>
      <c r="F36" s="319">
        <v>224158</v>
      </c>
      <c r="G36" s="117">
        <v>1</v>
      </c>
      <c r="H36" s="107" t="b">
        <v>1</v>
      </c>
      <c r="I36" s="279"/>
      <c r="J36" s="302" t="s">
        <v>598</v>
      </c>
      <c r="K36" s="128" t="s">
        <v>520</v>
      </c>
    </row>
    <row r="37" ht="17.25" customHeight="1" spans="1:11">
      <c r="A37" s="241">
        <v>3</v>
      </c>
      <c r="B37" s="47" t="s">
        <v>599</v>
      </c>
      <c r="C37" s="104" t="s">
        <v>600</v>
      </c>
      <c r="D37" s="47" t="s">
        <v>594</v>
      </c>
      <c r="E37" s="279">
        <v>223483</v>
      </c>
      <c r="F37" s="319">
        <v>231582</v>
      </c>
      <c r="G37" s="117">
        <v>1</v>
      </c>
      <c r="H37" s="107" t="b">
        <v>1</v>
      </c>
      <c r="I37" s="279"/>
      <c r="J37" s="302" t="s">
        <v>601</v>
      </c>
      <c r="K37" s="128" t="s">
        <v>520</v>
      </c>
    </row>
    <row r="38" ht="17.25" customHeight="1" spans="1:11">
      <c r="A38" s="241">
        <v>4</v>
      </c>
      <c r="B38" s="47" t="s">
        <v>602</v>
      </c>
      <c r="C38" s="104" t="s">
        <v>603</v>
      </c>
      <c r="D38" s="47" t="s">
        <v>594</v>
      </c>
      <c r="E38" s="279">
        <v>233923</v>
      </c>
      <c r="F38" s="319">
        <v>242718</v>
      </c>
      <c r="G38" s="117">
        <v>1</v>
      </c>
      <c r="H38" s="107" t="b">
        <v>1</v>
      </c>
      <c r="I38" s="279"/>
      <c r="J38" s="302" t="s">
        <v>604</v>
      </c>
      <c r="K38" s="128" t="s">
        <v>520</v>
      </c>
    </row>
    <row r="39" ht="17.25" customHeight="1" spans="1:11">
      <c r="A39" s="251">
        <v>5</v>
      </c>
      <c r="B39" s="252" t="s">
        <v>605</v>
      </c>
      <c r="C39" s="111" t="s">
        <v>606</v>
      </c>
      <c r="D39" s="252" t="s">
        <v>594</v>
      </c>
      <c r="E39" s="288">
        <v>254446</v>
      </c>
      <c r="F39" s="322">
        <v>264611</v>
      </c>
      <c r="G39" s="120">
        <v>1</v>
      </c>
      <c r="H39" s="114" t="b">
        <v>1</v>
      </c>
      <c r="I39" s="288"/>
      <c r="J39" s="41" t="s">
        <v>607</v>
      </c>
      <c r="K39" s="130" t="s">
        <v>520</v>
      </c>
    </row>
    <row r="40" ht="16.5" customHeight="1" spans="1:11">
      <c r="A40" s="313" t="s">
        <v>608</v>
      </c>
      <c r="B40" s="314"/>
      <c r="C40" s="314" t="s">
        <v>609</v>
      </c>
      <c r="D40" s="314"/>
      <c r="E40" s="315"/>
      <c r="F40" s="316"/>
      <c r="G40" s="317"/>
      <c r="H40" s="318"/>
      <c r="I40" s="315"/>
      <c r="J40" s="318"/>
      <c r="K40" s="323"/>
    </row>
    <row r="41" ht="17.25" customHeight="1" spans="1:11">
      <c r="A41" s="241">
        <v>1</v>
      </c>
      <c r="B41" s="47" t="s">
        <v>610</v>
      </c>
      <c r="C41" s="104" t="s">
        <v>611</v>
      </c>
      <c r="D41" s="47" t="s">
        <v>612</v>
      </c>
      <c r="E41" s="279">
        <v>1834515</v>
      </c>
      <c r="F41" s="319">
        <v>1929643</v>
      </c>
      <c r="G41" s="117">
        <v>1</v>
      </c>
      <c r="H41" s="107" t="b">
        <v>1</v>
      </c>
      <c r="I41" s="279"/>
      <c r="J41" s="302" t="s">
        <v>613</v>
      </c>
      <c r="K41" s="128" t="s">
        <v>520</v>
      </c>
    </row>
    <row r="42" ht="17.25" customHeight="1" spans="1:11">
      <c r="A42" s="241">
        <v>2</v>
      </c>
      <c r="B42" s="47" t="s">
        <v>614</v>
      </c>
      <c r="C42" s="104" t="s">
        <v>615</v>
      </c>
      <c r="D42" s="47" t="s">
        <v>612</v>
      </c>
      <c r="E42" s="279">
        <v>2037169</v>
      </c>
      <c r="F42" s="319">
        <v>2882825</v>
      </c>
      <c r="G42" s="117">
        <v>1</v>
      </c>
      <c r="H42" s="107" t="b">
        <v>1</v>
      </c>
      <c r="I42" s="279"/>
      <c r="J42" s="302" t="s">
        <v>616</v>
      </c>
      <c r="K42" s="128" t="s">
        <v>520</v>
      </c>
    </row>
    <row r="43" ht="17.25" customHeight="1" spans="1:11">
      <c r="A43" s="241">
        <v>3</v>
      </c>
      <c r="B43" s="47" t="s">
        <v>617</v>
      </c>
      <c r="C43" s="104" t="s">
        <v>618</v>
      </c>
      <c r="D43" s="47" t="s">
        <v>619</v>
      </c>
      <c r="E43" s="279">
        <v>229221</v>
      </c>
      <c r="F43" s="319">
        <v>238130</v>
      </c>
      <c r="G43" s="117">
        <v>1</v>
      </c>
      <c r="H43" s="107" t="b">
        <v>1</v>
      </c>
      <c r="I43" s="279"/>
      <c r="J43" s="302" t="s">
        <v>620</v>
      </c>
      <c r="K43" s="128" t="s">
        <v>520</v>
      </c>
    </row>
    <row r="44" ht="17.25" customHeight="1" spans="1:11">
      <c r="A44" s="241">
        <v>4</v>
      </c>
      <c r="B44" s="47" t="s">
        <v>621</v>
      </c>
      <c r="C44" s="104" t="s">
        <v>622</v>
      </c>
      <c r="D44" s="47" t="s">
        <v>612</v>
      </c>
      <c r="E44" s="279">
        <v>236812</v>
      </c>
      <c r="F44" s="319">
        <v>240449</v>
      </c>
      <c r="G44" s="117">
        <v>1</v>
      </c>
      <c r="H44" s="107" t="b">
        <v>1</v>
      </c>
      <c r="I44" s="279"/>
      <c r="J44" s="302" t="s">
        <v>623</v>
      </c>
      <c r="K44" s="128" t="s">
        <v>520</v>
      </c>
    </row>
    <row r="45" ht="17.25" customHeight="1" spans="1:11">
      <c r="A45" s="241">
        <v>5</v>
      </c>
      <c r="B45" s="47" t="s">
        <v>624</v>
      </c>
      <c r="C45" s="104" t="s">
        <v>625</v>
      </c>
      <c r="D45" s="47" t="s">
        <v>612</v>
      </c>
      <c r="E45" s="279">
        <v>2506803</v>
      </c>
      <c r="F45" s="319">
        <v>2579554</v>
      </c>
      <c r="G45" s="117">
        <v>1</v>
      </c>
      <c r="H45" s="107" t="b">
        <v>1</v>
      </c>
      <c r="I45" s="279"/>
      <c r="J45" s="302" t="s">
        <v>626</v>
      </c>
      <c r="K45" s="128" t="s">
        <v>520</v>
      </c>
    </row>
    <row r="46" ht="17.25" customHeight="1" spans="1:11">
      <c r="A46" s="241">
        <v>6</v>
      </c>
      <c r="B46" s="47" t="s">
        <v>627</v>
      </c>
      <c r="C46" s="104" t="s">
        <v>628</v>
      </c>
      <c r="D46" s="47" t="s">
        <v>612</v>
      </c>
      <c r="E46" s="279">
        <v>226240</v>
      </c>
      <c r="F46" s="319">
        <v>234046</v>
      </c>
      <c r="G46" s="117">
        <v>1</v>
      </c>
      <c r="H46" s="107" t="b">
        <v>1</v>
      </c>
      <c r="I46" s="279"/>
      <c r="J46" s="302" t="s">
        <v>629</v>
      </c>
      <c r="K46" s="128" t="s">
        <v>520</v>
      </c>
    </row>
    <row r="47" ht="17.25" customHeight="1" spans="1:11">
      <c r="A47" s="241">
        <v>7</v>
      </c>
      <c r="B47" s="47" t="s">
        <v>630</v>
      </c>
      <c r="C47" s="104" t="s">
        <v>631</v>
      </c>
      <c r="D47" s="47" t="s">
        <v>612</v>
      </c>
      <c r="E47" s="279">
        <v>313433</v>
      </c>
      <c r="F47" s="319">
        <v>324280</v>
      </c>
      <c r="G47" s="117">
        <v>1</v>
      </c>
      <c r="H47" s="107" t="b">
        <v>1</v>
      </c>
      <c r="I47" s="279"/>
      <c r="J47" s="302" t="s">
        <v>632</v>
      </c>
      <c r="K47" s="128" t="s">
        <v>520</v>
      </c>
    </row>
    <row r="48" ht="17.25" customHeight="1" spans="1:11">
      <c r="A48" s="241">
        <v>8</v>
      </c>
      <c r="B48" s="47" t="s">
        <v>633</v>
      </c>
      <c r="C48" s="104" t="s">
        <v>634</v>
      </c>
      <c r="D48" s="47" t="s">
        <v>612</v>
      </c>
      <c r="E48" s="279">
        <v>230940</v>
      </c>
      <c r="F48" s="319">
        <v>237717</v>
      </c>
      <c r="G48" s="117">
        <v>1</v>
      </c>
      <c r="H48" s="107" t="b">
        <v>1</v>
      </c>
      <c r="I48" s="279"/>
      <c r="J48" s="302" t="s">
        <v>635</v>
      </c>
      <c r="K48" s="128" t="s">
        <v>520</v>
      </c>
    </row>
    <row r="49" ht="17.25" customHeight="1" spans="1:11">
      <c r="A49" s="241">
        <v>9</v>
      </c>
      <c r="B49" s="47" t="s">
        <v>636</v>
      </c>
      <c r="C49" s="104" t="s">
        <v>637</v>
      </c>
      <c r="D49" s="47" t="s">
        <v>612</v>
      </c>
      <c r="E49" s="279">
        <v>328420</v>
      </c>
      <c r="F49" s="319">
        <v>361135</v>
      </c>
      <c r="G49" s="117">
        <v>1</v>
      </c>
      <c r="H49" s="107" t="b">
        <v>1</v>
      </c>
      <c r="I49" s="279"/>
      <c r="J49" s="302" t="s">
        <v>638</v>
      </c>
      <c r="K49" s="128" t="s">
        <v>520</v>
      </c>
    </row>
    <row r="50" ht="17.25" customHeight="1" spans="1:11">
      <c r="A50" s="241">
        <v>10</v>
      </c>
      <c r="B50" s="47" t="s">
        <v>639</v>
      </c>
      <c r="C50" s="104" t="s">
        <v>640</v>
      </c>
      <c r="D50" s="47" t="s">
        <v>619</v>
      </c>
      <c r="E50" s="279">
        <v>217456</v>
      </c>
      <c r="F50" s="321">
        <v>213286</v>
      </c>
      <c r="G50" s="117">
        <v>1</v>
      </c>
      <c r="H50" s="107" t="b">
        <v>1</v>
      </c>
      <c r="I50" s="279"/>
      <c r="J50" s="302" t="s">
        <v>641</v>
      </c>
      <c r="K50" s="128" t="s">
        <v>520</v>
      </c>
    </row>
    <row r="51" ht="17.25" customHeight="1" spans="1:11">
      <c r="A51" s="241">
        <v>11</v>
      </c>
      <c r="B51" s="47" t="s">
        <v>642</v>
      </c>
      <c r="C51" s="104" t="s">
        <v>643</v>
      </c>
      <c r="D51" s="47" t="s">
        <v>612</v>
      </c>
      <c r="E51" s="279">
        <v>270051</v>
      </c>
      <c r="F51" s="319">
        <v>301306</v>
      </c>
      <c r="G51" s="117">
        <v>1</v>
      </c>
      <c r="H51" s="107" t="b">
        <v>1</v>
      </c>
      <c r="I51" s="279"/>
      <c r="J51" s="302" t="s">
        <v>644</v>
      </c>
      <c r="K51" s="128" t="s">
        <v>520</v>
      </c>
    </row>
    <row r="52" ht="17.25" customHeight="1" spans="1:11">
      <c r="A52" s="241">
        <v>12</v>
      </c>
      <c r="B52" s="47" t="s">
        <v>645</v>
      </c>
      <c r="C52" s="104" t="s">
        <v>646</v>
      </c>
      <c r="D52" s="47" t="s">
        <v>612</v>
      </c>
      <c r="E52" s="279">
        <v>343100</v>
      </c>
      <c r="F52" s="319">
        <v>393344</v>
      </c>
      <c r="G52" s="117">
        <v>1</v>
      </c>
      <c r="H52" s="107" t="b">
        <v>1</v>
      </c>
      <c r="I52" s="279"/>
      <c r="J52" s="302" t="s">
        <v>647</v>
      </c>
      <c r="K52" s="128" t="s">
        <v>520</v>
      </c>
    </row>
    <row r="53" ht="17.25" customHeight="1" spans="1:11">
      <c r="A53" s="241">
        <v>13</v>
      </c>
      <c r="B53" s="47" t="s">
        <v>648</v>
      </c>
      <c r="C53" s="104" t="s">
        <v>649</v>
      </c>
      <c r="D53" s="47" t="s">
        <v>612</v>
      </c>
      <c r="E53" s="279">
        <v>3535441</v>
      </c>
      <c r="F53" s="319">
        <v>3878019</v>
      </c>
      <c r="G53" s="117">
        <v>1</v>
      </c>
      <c r="H53" s="107" t="b">
        <v>1</v>
      </c>
      <c r="I53" s="279"/>
      <c r="J53" s="302" t="s">
        <v>650</v>
      </c>
      <c r="K53" s="128" t="s">
        <v>520</v>
      </c>
    </row>
    <row r="54" ht="17.25" customHeight="1" spans="1:11">
      <c r="A54" s="241">
        <v>14</v>
      </c>
      <c r="B54" s="47" t="s">
        <v>648</v>
      </c>
      <c r="C54" s="104" t="s">
        <v>649</v>
      </c>
      <c r="D54" s="47" t="s">
        <v>612</v>
      </c>
      <c r="E54" s="279">
        <v>3535441</v>
      </c>
      <c r="F54" s="319">
        <v>3878019</v>
      </c>
      <c r="G54" s="117">
        <v>26</v>
      </c>
      <c r="H54" s="107" t="b">
        <v>1</v>
      </c>
      <c r="I54" s="279"/>
      <c r="J54" s="302" t="s">
        <v>650</v>
      </c>
      <c r="K54" s="128" t="s">
        <v>520</v>
      </c>
    </row>
    <row r="55" ht="17.25" customHeight="1" spans="1:11">
      <c r="A55" s="241">
        <v>15</v>
      </c>
      <c r="B55" s="47" t="s">
        <v>651</v>
      </c>
      <c r="C55" s="104" t="s">
        <v>652</v>
      </c>
      <c r="D55" s="47" t="s">
        <v>612</v>
      </c>
      <c r="E55" s="279">
        <v>1897480</v>
      </c>
      <c r="F55" s="321">
        <v>1844939</v>
      </c>
      <c r="G55" s="117">
        <v>1</v>
      </c>
      <c r="H55" s="107" t="b">
        <v>1</v>
      </c>
      <c r="I55" s="279"/>
      <c r="J55" s="302" t="s">
        <v>653</v>
      </c>
      <c r="K55" s="128" t="s">
        <v>520</v>
      </c>
    </row>
    <row r="56" ht="17.25" customHeight="1" spans="1:11">
      <c r="A56" s="241">
        <v>16</v>
      </c>
      <c r="B56" s="47" t="s">
        <v>651</v>
      </c>
      <c r="C56" s="104" t="s">
        <v>652</v>
      </c>
      <c r="D56" s="47" t="s">
        <v>612</v>
      </c>
      <c r="E56" s="279">
        <v>1897480</v>
      </c>
      <c r="F56" s="321">
        <v>1844939</v>
      </c>
      <c r="G56" s="117">
        <v>7</v>
      </c>
      <c r="H56" s="107" t="b">
        <v>1</v>
      </c>
      <c r="I56" s="279"/>
      <c r="J56" s="302" t="s">
        <v>653</v>
      </c>
      <c r="K56" s="128" t="s">
        <v>520</v>
      </c>
    </row>
    <row r="57" ht="17.25" customHeight="1" spans="1:11">
      <c r="A57" s="241">
        <v>17</v>
      </c>
      <c r="B57" s="47" t="s">
        <v>654</v>
      </c>
      <c r="C57" s="104" t="s">
        <v>655</v>
      </c>
      <c r="D57" s="47" t="s">
        <v>612</v>
      </c>
      <c r="E57" s="279">
        <v>343100</v>
      </c>
      <c r="F57" s="319">
        <v>393344</v>
      </c>
      <c r="G57" s="117">
        <v>1</v>
      </c>
      <c r="H57" s="107" t="b">
        <v>1</v>
      </c>
      <c r="I57" s="279"/>
      <c r="J57" s="302" t="s">
        <v>647</v>
      </c>
      <c r="K57" s="128" t="s">
        <v>520</v>
      </c>
    </row>
    <row r="58" ht="17.25" customHeight="1" spans="1:11">
      <c r="A58" s="241">
        <v>18</v>
      </c>
      <c r="B58" s="47" t="s">
        <v>656</v>
      </c>
      <c r="C58" s="104" t="s">
        <v>657</v>
      </c>
      <c r="D58" s="47" t="s">
        <v>612</v>
      </c>
      <c r="E58" s="279">
        <v>594337</v>
      </c>
      <c r="F58" s="319">
        <v>740827</v>
      </c>
      <c r="G58" s="117">
        <v>1</v>
      </c>
      <c r="H58" s="107" t="b">
        <v>1</v>
      </c>
      <c r="I58" s="279"/>
      <c r="J58" s="302" t="s">
        <v>658</v>
      </c>
      <c r="K58" s="128" t="s">
        <v>520</v>
      </c>
    </row>
    <row r="59" ht="17.25" customHeight="1" spans="1:11">
      <c r="A59" s="241">
        <v>19</v>
      </c>
      <c r="B59" s="47" t="s">
        <v>659</v>
      </c>
      <c r="C59" s="104" t="s">
        <v>657</v>
      </c>
      <c r="D59" s="47" t="s">
        <v>612</v>
      </c>
      <c r="E59" s="279">
        <v>517497</v>
      </c>
      <c r="F59" s="319">
        <v>740827</v>
      </c>
      <c r="G59" s="117">
        <v>1</v>
      </c>
      <c r="H59" s="107" t="b">
        <v>1</v>
      </c>
      <c r="I59" s="279"/>
      <c r="J59" s="302" t="s">
        <v>658</v>
      </c>
      <c r="K59" s="128" t="s">
        <v>520</v>
      </c>
    </row>
    <row r="60" ht="17.25" customHeight="1" spans="1:11">
      <c r="A60" s="251">
        <v>20</v>
      </c>
      <c r="B60" s="252" t="s">
        <v>660</v>
      </c>
      <c r="C60" s="111" t="s">
        <v>661</v>
      </c>
      <c r="D60" s="252" t="s">
        <v>612</v>
      </c>
      <c r="E60" s="288">
        <v>3590501</v>
      </c>
      <c r="F60" s="322">
        <v>4019344</v>
      </c>
      <c r="G60" s="120">
        <v>1</v>
      </c>
      <c r="H60" s="114" t="b">
        <v>1</v>
      </c>
      <c r="I60" s="288"/>
      <c r="J60" s="41" t="s">
        <v>662</v>
      </c>
      <c r="K60" s="130" t="s">
        <v>520</v>
      </c>
    </row>
  </sheetData>
  <mergeCells count="2">
    <mergeCell ref="A1:K1"/>
    <mergeCell ref="A2:K2"/>
  </mergeCells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zoomScaleSheetLayoutView="60" topLeftCell="A34" workbookViewId="0">
      <selection activeCell="A1" sqref="A1:W1"/>
    </sheetView>
  </sheetViews>
  <sheetFormatPr defaultColWidth="10" defaultRowHeight="15" customHeight="1" outlineLevelCol="4"/>
  <cols>
    <col min="1" max="1" width="10" style="14" customWidth="1"/>
    <col min="2" max="2" width="48.3333333333333" style="14" customWidth="1"/>
    <col min="3" max="3" width="11.6666666666667" style="14" customWidth="1"/>
    <col min="4" max="4" width="15" style="14" customWidth="1"/>
    <col min="5" max="5" width="38.3333333333333" style="14" customWidth="1"/>
    <col min="6" max="16384" width="10" style="14"/>
  </cols>
  <sheetData>
    <row r="1" ht="26.25" customHeight="1" spans="1:1">
      <c r="A1" s="6" t="s">
        <v>663</v>
      </c>
    </row>
    <row r="2" ht="33" customHeight="1" spans="1:1">
      <c r="A2" s="7" t="s">
        <v>1</v>
      </c>
    </row>
    <row r="3" s="298" customFormat="1" ht="37.5" customHeight="1" spans="1:1">
      <c r="A3" s="300" t="s">
        <v>664</v>
      </c>
    </row>
    <row r="4" s="299" customFormat="1" ht="26.25" customHeight="1" spans="1:4">
      <c r="A4" s="42" t="s">
        <v>3</v>
      </c>
      <c r="B4" s="233" t="s">
        <v>665</v>
      </c>
      <c r="C4" s="43"/>
      <c r="D4" s="43" t="s">
        <v>666</v>
      </c>
    </row>
    <row r="5" hidden="1" customHeight="1" spans="1:4">
      <c r="A5" s="278">
        <v>1</v>
      </c>
      <c r="B5" s="301" t="s">
        <v>667</v>
      </c>
      <c r="C5" s="302"/>
      <c r="D5" s="303">
        <v>1780000</v>
      </c>
    </row>
    <row r="6" customHeight="1" spans="1:5">
      <c r="A6" s="278">
        <v>1</v>
      </c>
      <c r="B6" s="301" t="s">
        <v>668</v>
      </c>
      <c r="C6" s="302"/>
      <c r="D6" s="303">
        <v>2474775</v>
      </c>
      <c r="E6" s="304"/>
    </row>
    <row r="7" customHeight="1" spans="1:4">
      <c r="A7" s="287">
        <v>2</v>
      </c>
      <c r="B7" s="305" t="s">
        <v>669</v>
      </c>
      <c r="C7" s="41"/>
      <c r="D7" s="306">
        <v>26</v>
      </c>
    </row>
    <row r="8" s="298" customFormat="1" ht="37.5" customHeight="1" spans="1:1">
      <c r="A8" s="300" t="s">
        <v>670</v>
      </c>
    </row>
    <row r="9" s="299" customFormat="1" ht="26.25" customHeight="1" spans="1:4">
      <c r="A9" s="42" t="s">
        <v>3</v>
      </c>
      <c r="B9" s="233" t="s">
        <v>671</v>
      </c>
      <c r="C9" s="43"/>
      <c r="D9" s="43" t="s">
        <v>672</v>
      </c>
    </row>
    <row r="10" customHeight="1" spans="1:4">
      <c r="A10" s="278">
        <v>1</v>
      </c>
      <c r="B10" s="301" t="s">
        <v>673</v>
      </c>
      <c r="C10" s="302"/>
      <c r="D10" s="307">
        <v>0</v>
      </c>
    </row>
    <row r="11" customHeight="1" spans="1:4">
      <c r="A11" s="278">
        <v>2</v>
      </c>
      <c r="B11" s="301" t="s">
        <v>674</v>
      </c>
      <c r="C11" s="302"/>
      <c r="D11" s="307">
        <v>0</v>
      </c>
    </row>
    <row r="12" customHeight="1" spans="1:4">
      <c r="A12" s="278">
        <v>3</v>
      </c>
      <c r="B12" s="301" t="s">
        <v>675</v>
      </c>
      <c r="C12" s="302"/>
      <c r="D12" s="307">
        <v>0</v>
      </c>
    </row>
    <row r="13" customHeight="1" spans="1:4">
      <c r="A13" s="278">
        <v>4</v>
      </c>
      <c r="B13" s="301" t="s">
        <v>676</v>
      </c>
      <c r="C13" s="302"/>
      <c r="D13" s="307">
        <v>0</v>
      </c>
    </row>
    <row r="14" customHeight="1" spans="1:4">
      <c r="A14" s="278">
        <v>5</v>
      </c>
      <c r="B14" s="301" t="s">
        <v>677</v>
      </c>
      <c r="C14" s="302"/>
      <c r="D14" s="307">
        <v>0</v>
      </c>
    </row>
    <row r="15" customHeight="1" spans="1:4">
      <c r="A15" s="278">
        <v>6</v>
      </c>
      <c r="B15" s="301" t="s">
        <v>678</v>
      </c>
      <c r="C15" s="302"/>
      <c r="D15" s="307">
        <v>0</v>
      </c>
    </row>
    <row r="16" customHeight="1" spans="1:4">
      <c r="A16" s="278">
        <v>7</v>
      </c>
      <c r="B16" s="301" t="s">
        <v>679</v>
      </c>
      <c r="C16" s="302"/>
      <c r="D16" s="307">
        <v>0</v>
      </c>
    </row>
    <row r="17" customHeight="1" spans="1:4">
      <c r="A17" s="278">
        <v>8</v>
      </c>
      <c r="B17" s="301" t="s">
        <v>680</v>
      </c>
      <c r="C17" s="302"/>
      <c r="D17" s="307">
        <v>0</v>
      </c>
    </row>
    <row r="18" customHeight="1" spans="1:4">
      <c r="A18" s="278">
        <v>9</v>
      </c>
      <c r="B18" s="301" t="s">
        <v>681</v>
      </c>
      <c r="C18" s="302"/>
      <c r="D18" s="307">
        <v>0</v>
      </c>
    </row>
    <row r="19" customHeight="1" spans="1:4">
      <c r="A19" s="287">
        <v>10</v>
      </c>
      <c r="B19" s="305" t="s">
        <v>682</v>
      </c>
      <c r="C19" s="41"/>
      <c r="D19" s="308">
        <v>0</v>
      </c>
    </row>
    <row r="20" s="298" customFormat="1" ht="37.5" customHeight="1" spans="1:1">
      <c r="A20" s="300" t="s">
        <v>683</v>
      </c>
    </row>
    <row r="21" s="299" customFormat="1" ht="26.25" customHeight="1" spans="1:4">
      <c r="A21" s="42" t="s">
        <v>3</v>
      </c>
      <c r="B21" s="43" t="s">
        <v>684</v>
      </c>
      <c r="C21" s="43" t="s">
        <v>6</v>
      </c>
      <c r="D21" s="43" t="s">
        <v>685</v>
      </c>
    </row>
    <row r="22" customHeight="1" spans="1:5">
      <c r="A22" s="278">
        <v>1</v>
      </c>
      <c r="B22" s="128" t="s">
        <v>686</v>
      </c>
      <c r="C22" s="107" t="s">
        <v>687</v>
      </c>
      <c r="D22" s="309">
        <v>14863.6363636364</v>
      </c>
      <c r="E22" s="247" t="s">
        <v>688</v>
      </c>
    </row>
    <row r="23" customHeight="1" spans="1:4">
      <c r="A23" s="278">
        <v>2</v>
      </c>
      <c r="B23" s="128" t="s">
        <v>689</v>
      </c>
      <c r="C23" s="107" t="s">
        <v>687</v>
      </c>
      <c r="D23" s="309">
        <v>11909.0909090909</v>
      </c>
    </row>
    <row r="24" customHeight="1" spans="1:5">
      <c r="A24" s="278">
        <v>3</v>
      </c>
      <c r="B24" s="128" t="s">
        <v>690</v>
      </c>
      <c r="C24" s="107" t="s">
        <v>691</v>
      </c>
      <c r="D24" s="309">
        <v>1720.65</v>
      </c>
      <c r="E24" s="247" t="s">
        <v>692</v>
      </c>
    </row>
    <row r="25" customHeight="1" spans="1:4">
      <c r="A25" s="287">
        <v>4</v>
      </c>
      <c r="B25" s="130" t="s">
        <v>693</v>
      </c>
      <c r="C25" s="114" t="s">
        <v>687</v>
      </c>
      <c r="D25" s="310">
        <v>17209.0909090909</v>
      </c>
    </row>
    <row r="26" s="298" customFormat="1" ht="37.5" customHeight="1" spans="1:1">
      <c r="A26" s="300" t="s">
        <v>694</v>
      </c>
    </row>
    <row r="27" s="299" customFormat="1" ht="26.25" customHeight="1" spans="1:4">
      <c r="A27" s="42" t="s">
        <v>3</v>
      </c>
      <c r="B27" s="233" t="s">
        <v>695</v>
      </c>
      <c r="C27" s="43"/>
      <c r="D27" s="43" t="s">
        <v>9</v>
      </c>
    </row>
    <row r="28" customHeight="1" spans="1:4">
      <c r="A28" s="278">
        <v>1</v>
      </c>
      <c r="B28" s="301" t="s">
        <v>696</v>
      </c>
      <c r="C28" s="302"/>
      <c r="D28" s="311">
        <v>1.05</v>
      </c>
    </row>
    <row r="29" customHeight="1" spans="1:4">
      <c r="A29" s="278">
        <v>2</v>
      </c>
      <c r="B29" s="301" t="s">
        <v>697</v>
      </c>
      <c r="C29" s="302"/>
      <c r="D29" s="311">
        <v>1</v>
      </c>
    </row>
    <row r="30" customHeight="1" spans="1:4">
      <c r="A30" s="278">
        <v>3</v>
      </c>
      <c r="B30" s="301" t="s">
        <v>698</v>
      </c>
      <c r="C30" s="302"/>
      <c r="D30" s="311">
        <v>1.07</v>
      </c>
    </row>
    <row r="31" customHeight="1" spans="1:4">
      <c r="A31" s="287">
        <v>4</v>
      </c>
      <c r="B31" s="305" t="s">
        <v>699</v>
      </c>
      <c r="C31" s="41"/>
      <c r="D31" s="312">
        <v>1.03</v>
      </c>
    </row>
    <row r="32" s="298" customFormat="1" ht="37.5" customHeight="1" spans="1:1">
      <c r="A32" s="300" t="s">
        <v>700</v>
      </c>
    </row>
    <row r="33" s="299" customFormat="1" ht="26.25" customHeight="1" spans="1:4">
      <c r="A33" s="42" t="s">
        <v>3</v>
      </c>
      <c r="B33" s="233" t="s">
        <v>684</v>
      </c>
      <c r="C33" s="43"/>
      <c r="D33" s="43" t="s">
        <v>666</v>
      </c>
    </row>
    <row r="34" customHeight="1" spans="1:4">
      <c r="A34" s="278">
        <v>1</v>
      </c>
      <c r="B34" s="301" t="s">
        <v>701</v>
      </c>
      <c r="C34" s="302"/>
      <c r="D34" s="303">
        <v>30</v>
      </c>
    </row>
    <row r="35" customHeight="1" spans="1:4">
      <c r="A35" s="287">
        <v>2</v>
      </c>
      <c r="B35" s="305" t="s">
        <v>702</v>
      </c>
      <c r="C35" s="41"/>
      <c r="D35" s="308">
        <v>0.1</v>
      </c>
    </row>
    <row r="36" s="298" customFormat="1" ht="37.5" customHeight="1" spans="1:1">
      <c r="A36" s="300" t="s">
        <v>703</v>
      </c>
    </row>
    <row r="37" s="299" customFormat="1" ht="26.25" customHeight="1" spans="1:4">
      <c r="A37" s="42" t="s">
        <v>3</v>
      </c>
      <c r="B37" s="233" t="s">
        <v>704</v>
      </c>
      <c r="C37" s="43"/>
      <c r="D37" s="43" t="s">
        <v>705</v>
      </c>
    </row>
    <row r="38" customHeight="1" spans="1:4">
      <c r="A38" s="278">
        <v>1</v>
      </c>
      <c r="B38" s="301" t="s">
        <v>706</v>
      </c>
      <c r="C38" s="302"/>
      <c r="D38" s="303">
        <v>1</v>
      </c>
    </row>
    <row r="39" customHeight="1" spans="1:4">
      <c r="A39" s="278">
        <v>2</v>
      </c>
      <c r="B39" s="301" t="s">
        <v>707</v>
      </c>
      <c r="C39" s="302"/>
      <c r="D39" s="303">
        <v>0</v>
      </c>
    </row>
    <row r="40" customHeight="1" spans="1:4">
      <c r="A40" s="287">
        <v>3</v>
      </c>
      <c r="B40" s="305" t="s">
        <v>708</v>
      </c>
      <c r="C40" s="41"/>
      <c r="D40" s="306">
        <v>3</v>
      </c>
    </row>
    <row r="41" s="298" customFormat="1" ht="37.5" customHeight="1" spans="1:1">
      <c r="A41" s="300" t="s">
        <v>709</v>
      </c>
    </row>
    <row r="42" s="299" customFormat="1" ht="26.25" customHeight="1" spans="1:4">
      <c r="A42" s="42" t="s">
        <v>3</v>
      </c>
      <c r="B42" s="233" t="s">
        <v>710</v>
      </c>
      <c r="C42" s="43"/>
      <c r="D42" s="43" t="s">
        <v>711</v>
      </c>
    </row>
    <row r="43" customHeight="1" spans="1:4">
      <c r="A43" s="278">
        <v>1</v>
      </c>
      <c r="B43" s="301" t="s">
        <v>712</v>
      </c>
      <c r="C43" s="302"/>
      <c r="D43" s="107" t="s">
        <v>713</v>
      </c>
    </row>
    <row r="44" customHeight="1" spans="1:4">
      <c r="A44" s="278">
        <v>2</v>
      </c>
      <c r="B44" s="301" t="s">
        <v>714</v>
      </c>
      <c r="C44" s="302"/>
      <c r="D44" s="107" t="s">
        <v>715</v>
      </c>
    </row>
    <row r="45" customHeight="1" spans="1:4">
      <c r="A45" s="287">
        <v>3</v>
      </c>
      <c r="B45" s="305" t="s">
        <v>716</v>
      </c>
      <c r="C45" s="41"/>
      <c r="D45" s="114" t="s">
        <v>717</v>
      </c>
    </row>
  </sheetData>
  <mergeCells count="43">
    <mergeCell ref="A1:D1"/>
    <mergeCell ref="A2:D2"/>
    <mergeCell ref="A3:D3"/>
    <mergeCell ref="B4:C4"/>
    <mergeCell ref="B5:C5"/>
    <mergeCell ref="B6:C6"/>
    <mergeCell ref="B7:C7"/>
    <mergeCell ref="A8:D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20:D20"/>
    <mergeCell ref="A26:D26"/>
    <mergeCell ref="B27:C27"/>
    <mergeCell ref="B28:C28"/>
    <mergeCell ref="B29:C29"/>
    <mergeCell ref="B30:C30"/>
    <mergeCell ref="B31:C31"/>
    <mergeCell ref="A32:D32"/>
    <mergeCell ref="B33:C33"/>
    <mergeCell ref="B34:C34"/>
    <mergeCell ref="B35:C35"/>
    <mergeCell ref="A36:D36"/>
    <mergeCell ref="B37:C37"/>
    <mergeCell ref="B38:C38"/>
    <mergeCell ref="B39:C39"/>
    <mergeCell ref="B40:C40"/>
    <mergeCell ref="A41:D41"/>
    <mergeCell ref="B42:C42"/>
    <mergeCell ref="B43:C43"/>
    <mergeCell ref="B44:C44"/>
    <mergeCell ref="B45:C45"/>
    <mergeCell ref="E6:E7"/>
    <mergeCell ref="E22:E23"/>
    <mergeCell ref="E24:E25"/>
  </mergeCells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zoomScaleSheetLayoutView="60" workbookViewId="0">
      <selection activeCell="A1" sqref="A1:W1"/>
    </sheetView>
  </sheetViews>
  <sheetFormatPr defaultColWidth="10" defaultRowHeight="15" customHeight="1"/>
  <cols>
    <col min="1" max="1" width="10" style="14" customWidth="1"/>
    <col min="2" max="2" width="12.5" style="14" customWidth="1"/>
    <col min="3" max="3" width="33.3333333333333" style="14" customWidth="1"/>
    <col min="4" max="4" width="11.6666666666667" style="14" customWidth="1"/>
    <col min="5" max="5" width="9.16666666666667" style="14" customWidth="1"/>
    <col min="6" max="6" width="15" style="14" hidden="1" customWidth="1"/>
    <col min="7" max="8" width="15" style="14" customWidth="1"/>
    <col min="9" max="18" width="15" style="14" hidden="1" customWidth="1"/>
    <col min="19" max="19" width="15" style="14" customWidth="1"/>
    <col min="20" max="20" width="16.6666666666667" style="247" hidden="1" customWidth="1"/>
    <col min="21" max="16384" width="10" style="14"/>
  </cols>
  <sheetData>
    <row r="1" ht="26.25" customHeight="1" spans="1:1">
      <c r="A1" s="6" t="s">
        <v>718</v>
      </c>
    </row>
    <row r="2" customHeight="1" spans="1:1">
      <c r="A2" s="256" t="s">
        <v>719</v>
      </c>
    </row>
    <row r="3" ht="30" customHeight="1" spans="1:1">
      <c r="A3" s="7" t="s">
        <v>1</v>
      </c>
    </row>
    <row r="4" customHeight="1" spans="1:4">
      <c r="A4" s="257" t="s">
        <v>720</v>
      </c>
      <c r="B4" s="258"/>
      <c r="C4" s="258"/>
      <c r="D4" s="258"/>
    </row>
    <row r="5" customHeight="1" spans="1:4">
      <c r="A5" s="257" t="s">
        <v>3</v>
      </c>
      <c r="B5" s="259" t="s">
        <v>721</v>
      </c>
      <c r="C5" s="257"/>
      <c r="D5" s="257" t="s">
        <v>666</v>
      </c>
    </row>
    <row r="6" customHeight="1" spans="1:4">
      <c r="A6" s="260">
        <v>1</v>
      </c>
      <c r="B6" s="17" t="s">
        <v>722</v>
      </c>
      <c r="D6" s="261">
        <v>4483602</v>
      </c>
    </row>
    <row r="7" customHeight="1" spans="1:4">
      <c r="A7" s="260">
        <v>2</v>
      </c>
      <c r="B7" s="17" t="s">
        <v>723</v>
      </c>
      <c r="D7" s="261">
        <v>5783141</v>
      </c>
    </row>
    <row r="8" customHeight="1" spans="1:4">
      <c r="A8" s="260">
        <v>3</v>
      </c>
      <c r="B8" s="17" t="s">
        <v>724</v>
      </c>
      <c r="D8" s="261">
        <v>7217539</v>
      </c>
    </row>
    <row r="9" customHeight="1" spans="1:4">
      <c r="A9" s="260">
        <v>4</v>
      </c>
      <c r="B9" s="17" t="s">
        <v>725</v>
      </c>
      <c r="D9" s="261">
        <f>SUM(D6:D8)/A8</f>
        <v>5828094</v>
      </c>
    </row>
    <row r="10" customHeight="1" spans="1:4">
      <c r="A10" s="260">
        <v>5</v>
      </c>
      <c r="B10" s="17" t="s">
        <v>726</v>
      </c>
      <c r="D10" s="262">
        <v>2.16</v>
      </c>
    </row>
    <row r="11" customHeight="1" spans="1:4">
      <c r="A11" s="260">
        <v>6</v>
      </c>
      <c r="B11" s="17" t="s">
        <v>727</v>
      </c>
      <c r="D11" s="262">
        <v>2.55</v>
      </c>
    </row>
    <row r="12" customHeight="1" spans="1:4">
      <c r="A12" s="260">
        <v>7</v>
      </c>
      <c r="B12" s="17" t="s">
        <v>728</v>
      </c>
      <c r="D12" s="262">
        <f>(D10+D11)/2</f>
        <v>2.355</v>
      </c>
    </row>
    <row r="13" customHeight="1" spans="1:4">
      <c r="A13" s="260">
        <v>8</v>
      </c>
      <c r="B13" s="17" t="s">
        <v>729</v>
      </c>
      <c r="D13" s="261">
        <f>ROUND(D9/D12,0)</f>
        <v>2474775</v>
      </c>
    </row>
    <row r="14" ht="22.5" customHeight="1" spans="1:1">
      <c r="A14" s="263" t="s">
        <v>730</v>
      </c>
    </row>
    <row r="15" ht="27.75" customHeight="1" spans="1:20">
      <c r="A15" s="291" t="s">
        <v>3</v>
      </c>
      <c r="B15" s="98" t="s">
        <v>4</v>
      </c>
      <c r="C15" s="98" t="s">
        <v>731</v>
      </c>
      <c r="D15" s="98" t="s">
        <v>6</v>
      </c>
      <c r="E15" s="98" t="s">
        <v>732</v>
      </c>
      <c r="F15" s="98" t="s">
        <v>733</v>
      </c>
      <c r="G15" s="98" t="s">
        <v>734</v>
      </c>
      <c r="H15" s="98" t="s">
        <v>735</v>
      </c>
      <c r="I15" s="116" t="s">
        <v>736</v>
      </c>
      <c r="J15" s="116"/>
      <c r="K15" s="116"/>
      <c r="L15" s="116"/>
      <c r="M15" s="116"/>
      <c r="N15" s="116"/>
      <c r="O15" s="116"/>
      <c r="P15" s="116"/>
      <c r="Q15" s="116"/>
      <c r="R15" s="92"/>
      <c r="S15" s="98" t="s">
        <v>737</v>
      </c>
      <c r="T15" s="297" t="s">
        <v>738</v>
      </c>
    </row>
    <row r="16" ht="45" customHeight="1" spans="1:20">
      <c r="A16" s="292"/>
      <c r="B16" s="293"/>
      <c r="C16" s="293"/>
      <c r="D16" s="293"/>
      <c r="E16" s="293"/>
      <c r="F16" s="293"/>
      <c r="G16" s="293"/>
      <c r="H16" s="293"/>
      <c r="I16" s="92" t="s">
        <v>739</v>
      </c>
      <c r="J16" s="92" t="s">
        <v>740</v>
      </c>
      <c r="K16" s="92" t="s">
        <v>741</v>
      </c>
      <c r="L16" s="92" t="s">
        <v>742</v>
      </c>
      <c r="M16" s="92" t="s">
        <v>743</v>
      </c>
      <c r="N16" s="92" t="s">
        <v>744</v>
      </c>
      <c r="O16" s="92" t="s">
        <v>745</v>
      </c>
      <c r="P16" s="92" t="s">
        <v>746</v>
      </c>
      <c r="Q16" s="92" t="s">
        <v>747</v>
      </c>
      <c r="R16" s="92" t="s">
        <v>748</v>
      </c>
      <c r="S16" s="293"/>
      <c r="T16" s="297"/>
    </row>
    <row r="17" ht="27.75" customHeight="1" spans="1:19">
      <c r="A17" s="234"/>
      <c r="B17" s="235"/>
      <c r="C17" s="235"/>
      <c r="D17" s="235"/>
      <c r="E17" s="235"/>
      <c r="F17" s="235"/>
      <c r="G17" s="235"/>
      <c r="H17" s="235"/>
      <c r="I17" s="296">
        <v>0</v>
      </c>
      <c r="J17" s="296">
        <v>0</v>
      </c>
      <c r="K17" s="296">
        <v>0</v>
      </c>
      <c r="L17" s="296">
        <v>0</v>
      </c>
      <c r="M17" s="296">
        <v>0</v>
      </c>
      <c r="N17" s="296">
        <v>0</v>
      </c>
      <c r="O17" s="296">
        <v>0</v>
      </c>
      <c r="P17" s="296">
        <v>0</v>
      </c>
      <c r="Q17" s="296">
        <v>0</v>
      </c>
      <c r="R17" s="296">
        <v>0</v>
      </c>
      <c r="S17" s="235"/>
    </row>
    <row r="18" ht="17.25" customHeight="1" spans="1:20">
      <c r="A18" s="278">
        <v>1</v>
      </c>
      <c r="B18" s="131" t="s">
        <v>592</v>
      </c>
      <c r="C18" s="128" t="s">
        <v>593</v>
      </c>
      <c r="D18" s="107" t="s">
        <v>594</v>
      </c>
      <c r="E18" s="294">
        <v>2.16</v>
      </c>
      <c r="F18" s="279">
        <v>1780000</v>
      </c>
      <c r="G18" s="279">
        <f>D13</f>
        <v>2474775</v>
      </c>
      <c r="H18" s="279">
        <v>5345514</v>
      </c>
      <c r="I18" s="279">
        <v>0</v>
      </c>
      <c r="J18" s="279">
        <v>0</v>
      </c>
      <c r="K18" s="279">
        <v>0</v>
      </c>
      <c r="L18" s="279">
        <v>0</v>
      </c>
      <c r="M18" s="279">
        <v>0</v>
      </c>
      <c r="N18" s="279">
        <v>0</v>
      </c>
      <c r="O18" s="279">
        <v>0</v>
      </c>
      <c r="P18" s="279">
        <v>0</v>
      </c>
      <c r="Q18" s="279">
        <v>0</v>
      </c>
      <c r="R18" s="279">
        <v>0</v>
      </c>
      <c r="S18" s="119">
        <v>205597</v>
      </c>
      <c r="T18" s="247">
        <v>2.16</v>
      </c>
    </row>
    <row r="19" ht="17.25" customHeight="1" spans="1:20">
      <c r="A19" s="278">
        <v>2</v>
      </c>
      <c r="B19" s="131" t="s">
        <v>596</v>
      </c>
      <c r="C19" s="128" t="s">
        <v>597</v>
      </c>
      <c r="D19" s="107" t="s">
        <v>594</v>
      </c>
      <c r="E19" s="294">
        <v>2.355</v>
      </c>
      <c r="F19" s="279">
        <v>1780000</v>
      </c>
      <c r="G19" s="279">
        <f>D13</f>
        <v>2474775</v>
      </c>
      <c r="H19" s="279">
        <v>5828095.1</v>
      </c>
      <c r="I19" s="279">
        <v>0</v>
      </c>
      <c r="J19" s="279">
        <v>0</v>
      </c>
      <c r="K19" s="279">
        <v>0</v>
      </c>
      <c r="L19" s="279">
        <v>0</v>
      </c>
      <c r="M19" s="279">
        <v>0</v>
      </c>
      <c r="N19" s="279">
        <v>0</v>
      </c>
      <c r="O19" s="279">
        <v>0</v>
      </c>
      <c r="P19" s="279">
        <v>0</v>
      </c>
      <c r="Q19" s="279">
        <v>0</v>
      </c>
      <c r="R19" s="279">
        <v>0</v>
      </c>
      <c r="S19" s="119">
        <v>224158</v>
      </c>
      <c r="T19" s="247">
        <v>2.355</v>
      </c>
    </row>
    <row r="20" ht="30" customHeight="1" spans="1:20">
      <c r="A20" s="278">
        <v>3</v>
      </c>
      <c r="B20" s="131" t="s">
        <v>599</v>
      </c>
      <c r="C20" s="128" t="s">
        <v>600</v>
      </c>
      <c r="D20" s="107" t="s">
        <v>594</v>
      </c>
      <c r="E20" s="294">
        <v>2.433</v>
      </c>
      <c r="F20" s="279">
        <v>1780000</v>
      </c>
      <c r="G20" s="279">
        <f>D13</f>
        <v>2474775</v>
      </c>
      <c r="H20" s="279">
        <v>6021127.6</v>
      </c>
      <c r="I20" s="279">
        <v>0</v>
      </c>
      <c r="J20" s="279">
        <v>0</v>
      </c>
      <c r="K20" s="279">
        <v>0</v>
      </c>
      <c r="L20" s="279">
        <v>0</v>
      </c>
      <c r="M20" s="279">
        <v>0</v>
      </c>
      <c r="N20" s="279">
        <v>0</v>
      </c>
      <c r="O20" s="279">
        <v>0</v>
      </c>
      <c r="P20" s="279">
        <v>0</v>
      </c>
      <c r="Q20" s="279">
        <v>0</v>
      </c>
      <c r="R20" s="279">
        <v>0</v>
      </c>
      <c r="S20" s="119">
        <v>231582</v>
      </c>
      <c r="T20" s="247">
        <v>2.433</v>
      </c>
    </row>
    <row r="21" ht="17.25" customHeight="1" spans="1:20">
      <c r="A21" s="278">
        <v>4</v>
      </c>
      <c r="B21" s="131" t="s">
        <v>602</v>
      </c>
      <c r="C21" s="128" t="s">
        <v>603</v>
      </c>
      <c r="D21" s="107" t="s">
        <v>594</v>
      </c>
      <c r="E21" s="294">
        <v>2.55</v>
      </c>
      <c r="F21" s="279">
        <v>1780000</v>
      </c>
      <c r="G21" s="279">
        <f>D13</f>
        <v>2474775</v>
      </c>
      <c r="H21" s="279">
        <v>6310676.3</v>
      </c>
      <c r="I21" s="279">
        <v>0</v>
      </c>
      <c r="J21" s="279">
        <v>0</v>
      </c>
      <c r="K21" s="279">
        <v>0</v>
      </c>
      <c r="L21" s="279">
        <v>0</v>
      </c>
      <c r="M21" s="279">
        <v>0</v>
      </c>
      <c r="N21" s="279">
        <v>0</v>
      </c>
      <c r="O21" s="279">
        <v>0</v>
      </c>
      <c r="P21" s="279">
        <v>0</v>
      </c>
      <c r="Q21" s="279">
        <v>0</v>
      </c>
      <c r="R21" s="279">
        <v>0</v>
      </c>
      <c r="S21" s="119">
        <v>242718</v>
      </c>
      <c r="T21" s="247">
        <v>2.55</v>
      </c>
    </row>
    <row r="22" ht="17.25" customHeight="1" spans="1:20">
      <c r="A22" s="287">
        <v>5</v>
      </c>
      <c r="B22" s="132" t="s">
        <v>605</v>
      </c>
      <c r="C22" s="130" t="s">
        <v>606</v>
      </c>
      <c r="D22" s="114" t="s">
        <v>594</v>
      </c>
      <c r="E22" s="295">
        <v>2.78</v>
      </c>
      <c r="F22" s="288">
        <v>1780000</v>
      </c>
      <c r="G22" s="288">
        <f>D13</f>
        <v>2474775</v>
      </c>
      <c r="H22" s="288">
        <v>6879874.5</v>
      </c>
      <c r="I22" s="288">
        <v>0</v>
      </c>
      <c r="J22" s="288">
        <v>0</v>
      </c>
      <c r="K22" s="288">
        <v>0</v>
      </c>
      <c r="L22" s="288">
        <v>0</v>
      </c>
      <c r="M22" s="288">
        <v>0</v>
      </c>
      <c r="N22" s="288">
        <v>0</v>
      </c>
      <c r="O22" s="288">
        <v>0</v>
      </c>
      <c r="P22" s="288">
        <v>0</v>
      </c>
      <c r="Q22" s="288">
        <v>0</v>
      </c>
      <c r="R22" s="288">
        <v>0</v>
      </c>
      <c r="S22" s="122">
        <v>264611</v>
      </c>
      <c r="T22" s="247">
        <v>2.78</v>
      </c>
    </row>
  </sheetData>
  <mergeCells count="34">
    <mergeCell ref="A1:S1"/>
    <mergeCell ref="A2:S2"/>
    <mergeCell ref="A3:S3"/>
    <mergeCell ref="A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A14:S14"/>
    <mergeCell ref="I15:R15"/>
    <mergeCell ref="A15:A17"/>
    <mergeCell ref="B15:B17"/>
    <mergeCell ref="C15:C17"/>
    <mergeCell ref="D15:D17"/>
    <mergeCell ref="E15:E17"/>
    <mergeCell ref="F15:F17"/>
    <mergeCell ref="G15:G17"/>
    <mergeCell ref="H15:H17"/>
    <mergeCell ref="S15:S17"/>
    <mergeCell ref="T15:T17"/>
  </mergeCells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7"/>
  <sheetViews>
    <sheetView zoomScaleSheetLayoutView="60" topLeftCell="A16" workbookViewId="0">
      <selection activeCell="A1" sqref="A1:W1"/>
    </sheetView>
  </sheetViews>
  <sheetFormatPr defaultColWidth="10" defaultRowHeight="15" customHeight="1"/>
  <cols>
    <col min="1" max="1" width="10" style="14" customWidth="1"/>
    <col min="2" max="2" width="12.5" style="14" customWidth="1"/>
    <col min="3" max="3" width="50" style="14" customWidth="1"/>
    <col min="4" max="4" width="11.6666666666667" style="14" customWidth="1"/>
    <col min="5" max="5" width="16.6666666666667" style="14" customWidth="1"/>
    <col min="6" max="7" width="8.33333333333333" style="14" customWidth="1"/>
    <col min="8" max="8" width="16.6666666666667" style="14" customWidth="1"/>
    <col min="9" max="10" width="8.33333333333333" style="14" customWidth="1"/>
    <col min="11" max="11" width="15" style="14" customWidth="1"/>
    <col min="12" max="16384" width="10" style="14"/>
  </cols>
  <sheetData>
    <row r="1" ht="26.25" customHeight="1" spans="1:1">
      <c r="A1" s="6" t="s">
        <v>749</v>
      </c>
    </row>
    <row r="2" customHeight="1" spans="1:1">
      <c r="A2" s="256" t="s">
        <v>750</v>
      </c>
    </row>
    <row r="3" ht="30" customHeight="1" spans="1:1">
      <c r="A3" s="7" t="s">
        <v>1</v>
      </c>
    </row>
    <row r="4" customHeight="1" spans="1:4">
      <c r="A4" s="257" t="s">
        <v>720</v>
      </c>
      <c r="B4" s="258"/>
      <c r="C4" s="258"/>
      <c r="D4" s="258"/>
    </row>
    <row r="5" customHeight="1" spans="1:4">
      <c r="A5" s="257" t="s">
        <v>3</v>
      </c>
      <c r="B5" s="259" t="s">
        <v>721</v>
      </c>
      <c r="C5" s="257"/>
      <c r="D5" s="257" t="s">
        <v>666</v>
      </c>
    </row>
    <row r="6" customHeight="1" spans="1:4">
      <c r="A6" s="260">
        <v>1</v>
      </c>
      <c r="B6" s="17" t="s">
        <v>722</v>
      </c>
      <c r="D6" s="261">
        <v>4483602</v>
      </c>
    </row>
    <row r="7" customHeight="1" spans="1:4">
      <c r="A7" s="260">
        <v>2</v>
      </c>
      <c r="B7" s="17" t="s">
        <v>723</v>
      </c>
      <c r="D7" s="261">
        <v>5783141</v>
      </c>
    </row>
    <row r="8" customHeight="1" spans="1:4">
      <c r="A8" s="260">
        <v>3</v>
      </c>
      <c r="B8" s="17" t="s">
        <v>724</v>
      </c>
      <c r="D8" s="261">
        <v>7217539</v>
      </c>
    </row>
    <row r="9" customHeight="1" spans="1:4">
      <c r="A9" s="260">
        <v>4</v>
      </c>
      <c r="B9" s="17" t="s">
        <v>725</v>
      </c>
      <c r="D9" s="261">
        <f>SUM(D6:D8)/A8</f>
        <v>5828094</v>
      </c>
    </row>
    <row r="10" customHeight="1" spans="1:4">
      <c r="A10" s="260">
        <v>5</v>
      </c>
      <c r="B10" s="17" t="s">
        <v>726</v>
      </c>
      <c r="D10" s="262">
        <v>2.16</v>
      </c>
    </row>
    <row r="11" customHeight="1" spans="1:4">
      <c r="A11" s="260">
        <v>6</v>
      </c>
      <c r="B11" s="17" t="s">
        <v>727</v>
      </c>
      <c r="D11" s="262">
        <v>2.55</v>
      </c>
    </row>
    <row r="12" customHeight="1" spans="1:4">
      <c r="A12" s="260">
        <v>7</v>
      </c>
      <c r="B12" s="17" t="s">
        <v>728</v>
      </c>
      <c r="D12" s="262">
        <f>(D10+D11)/2</f>
        <v>2.355</v>
      </c>
    </row>
    <row r="13" customHeight="1" spans="1:4">
      <c r="A13" s="260">
        <v>8</v>
      </c>
      <c r="B13" s="17" t="s">
        <v>729</v>
      </c>
      <c r="D13" s="261">
        <f>ROUND(D9/D12,0)</f>
        <v>2474775</v>
      </c>
    </row>
    <row r="14" ht="22.5" customHeight="1" spans="1:1">
      <c r="A14" s="263" t="s">
        <v>730</v>
      </c>
    </row>
    <row r="15" ht="48.75" customHeight="1" spans="1:11">
      <c r="A15" s="264" t="s">
        <v>3</v>
      </c>
      <c r="B15" s="22" t="s">
        <v>4</v>
      </c>
      <c r="C15" s="22" t="s">
        <v>751</v>
      </c>
      <c r="D15" s="22" t="s">
        <v>6</v>
      </c>
      <c r="E15" s="22" t="s">
        <v>752</v>
      </c>
      <c r="F15" s="22" t="s">
        <v>753</v>
      </c>
      <c r="G15" s="22" t="s">
        <v>22</v>
      </c>
      <c r="H15" s="22" t="s">
        <v>14</v>
      </c>
      <c r="I15" s="22" t="s">
        <v>9</v>
      </c>
      <c r="J15" s="22" t="s">
        <v>754</v>
      </c>
      <c r="K15" s="22" t="s">
        <v>755</v>
      </c>
    </row>
    <row r="16" ht="17.25" customHeight="1" spans="1:11">
      <c r="A16" s="265">
        <v>1</v>
      </c>
      <c r="B16" s="266" t="s">
        <v>610</v>
      </c>
      <c r="C16" s="267" t="s">
        <v>611</v>
      </c>
      <c r="D16" s="266" t="s">
        <v>612</v>
      </c>
      <c r="E16" s="268">
        <v>946700000</v>
      </c>
      <c r="F16" s="269"/>
      <c r="G16" s="270"/>
      <c r="H16" s="271"/>
      <c r="I16" s="282"/>
      <c r="J16" s="282"/>
      <c r="K16" s="283">
        <v>1929643</v>
      </c>
    </row>
    <row r="17" ht="18" customHeight="1" spans="1:11">
      <c r="A17" s="272"/>
      <c r="B17" s="273"/>
      <c r="C17" s="274" t="s">
        <v>756</v>
      </c>
      <c r="D17" s="273"/>
      <c r="E17" s="275"/>
      <c r="F17" s="276"/>
      <c r="G17" s="277"/>
      <c r="H17" s="275"/>
      <c r="I17" s="284"/>
      <c r="J17" s="284"/>
      <c r="K17" s="275">
        <v>561845.5</v>
      </c>
    </row>
    <row r="18" ht="17.25" customHeight="1" spans="1:11">
      <c r="A18" s="278"/>
      <c r="B18" s="131"/>
      <c r="C18" s="128" t="s">
        <v>757</v>
      </c>
      <c r="D18" s="131" t="s">
        <v>687</v>
      </c>
      <c r="E18" s="279"/>
      <c r="F18" s="280"/>
      <c r="G18" s="246">
        <v>36</v>
      </c>
      <c r="H18" s="279">
        <v>14863.6363636364</v>
      </c>
      <c r="I18" s="285">
        <v>1.05</v>
      </c>
      <c r="J18" s="107"/>
      <c r="K18" s="279">
        <v>561845.5</v>
      </c>
    </row>
    <row r="19" ht="18" customHeight="1" spans="1:11">
      <c r="A19" s="272"/>
      <c r="B19" s="273"/>
      <c r="C19" s="274" t="s">
        <v>758</v>
      </c>
      <c r="D19" s="273"/>
      <c r="E19" s="275"/>
      <c r="F19" s="276"/>
      <c r="G19" s="277"/>
      <c r="H19" s="275"/>
      <c r="I19" s="284"/>
      <c r="J19" s="284"/>
      <c r="K19" s="275">
        <v>492099.5</v>
      </c>
    </row>
    <row r="20" ht="17.25" customHeight="1" spans="1:11">
      <c r="A20" s="278"/>
      <c r="B20" s="131"/>
      <c r="C20" s="128" t="s">
        <v>759</v>
      </c>
      <c r="D20" s="131"/>
      <c r="E20" s="279"/>
      <c r="F20" s="280"/>
      <c r="G20" s="246">
        <v>1</v>
      </c>
      <c r="H20" s="279"/>
      <c r="I20" s="107"/>
      <c r="J20" s="107"/>
      <c r="K20" s="279">
        <v>205596.7</v>
      </c>
    </row>
    <row r="21" ht="17.25" customHeight="1" spans="1:11">
      <c r="A21" s="278"/>
      <c r="B21" s="131"/>
      <c r="C21" s="128" t="s">
        <v>760</v>
      </c>
      <c r="D21" s="131"/>
      <c r="E21" s="279"/>
      <c r="F21" s="280"/>
      <c r="G21" s="246">
        <v>2.16</v>
      </c>
      <c r="H21" s="279">
        <f>D13</f>
        <v>2474775</v>
      </c>
      <c r="I21" s="107"/>
      <c r="J21" s="280">
        <v>26</v>
      </c>
      <c r="K21" s="279">
        <v>205596.7</v>
      </c>
    </row>
    <row r="22" ht="17.25" customHeight="1" spans="1:11">
      <c r="A22" s="278"/>
      <c r="B22" s="131"/>
      <c r="C22" s="128" t="s">
        <v>761</v>
      </c>
      <c r="D22" s="131"/>
      <c r="E22" s="279"/>
      <c r="F22" s="280"/>
      <c r="G22" s="246">
        <v>1</v>
      </c>
      <c r="H22" s="279"/>
      <c r="I22" s="107"/>
      <c r="J22" s="107"/>
      <c r="K22" s="279">
        <v>286502.8</v>
      </c>
    </row>
    <row r="23" ht="17.25" customHeight="1" spans="1:11">
      <c r="A23" s="278"/>
      <c r="B23" s="131"/>
      <c r="C23" s="128" t="s">
        <v>760</v>
      </c>
      <c r="D23" s="131"/>
      <c r="E23" s="279"/>
      <c r="F23" s="280"/>
      <c r="G23" s="246">
        <v>3.01</v>
      </c>
      <c r="H23" s="279">
        <f>D13</f>
        <v>2474775</v>
      </c>
      <c r="I23" s="107"/>
      <c r="J23" s="280">
        <v>26</v>
      </c>
      <c r="K23" s="279">
        <v>286502.8</v>
      </c>
    </row>
    <row r="24" ht="18" customHeight="1" spans="1:11">
      <c r="A24" s="272"/>
      <c r="B24" s="273"/>
      <c r="C24" s="274" t="s">
        <v>762</v>
      </c>
      <c r="D24" s="273"/>
      <c r="E24" s="275"/>
      <c r="F24" s="276"/>
      <c r="G24" s="277"/>
      <c r="H24" s="275"/>
      <c r="I24" s="284"/>
      <c r="J24" s="284"/>
      <c r="K24" s="275">
        <f>SUM(K25:K27)</f>
        <v>875697.5</v>
      </c>
    </row>
    <row r="25" ht="17.25" customHeight="1" spans="1:11">
      <c r="A25" s="278"/>
      <c r="B25" s="131"/>
      <c r="C25" s="128" t="s">
        <v>763</v>
      </c>
      <c r="D25" s="131"/>
      <c r="E25" s="279"/>
      <c r="F25" s="280">
        <v>200</v>
      </c>
      <c r="G25" s="281">
        <v>0.1</v>
      </c>
      <c r="H25" s="279">
        <f>E16</f>
        <v>946700000</v>
      </c>
      <c r="I25" s="286">
        <v>0.9</v>
      </c>
      <c r="J25" s="107"/>
      <c r="K25" s="279">
        <v>426015</v>
      </c>
    </row>
    <row r="26" ht="17.25" customHeight="1" spans="1:11">
      <c r="A26" s="278"/>
      <c r="B26" s="131"/>
      <c r="C26" s="128" t="s">
        <v>764</v>
      </c>
      <c r="D26" s="131"/>
      <c r="E26" s="279"/>
      <c r="F26" s="280">
        <v>200</v>
      </c>
      <c r="G26" s="281">
        <v>0.045</v>
      </c>
      <c r="H26" s="279">
        <f>E16</f>
        <v>946700000</v>
      </c>
      <c r="I26" s="107"/>
      <c r="J26" s="107"/>
      <c r="K26" s="279">
        <v>213007.5</v>
      </c>
    </row>
    <row r="27" ht="17.25" customHeight="1" spans="1:11">
      <c r="A27" s="278"/>
      <c r="B27" s="131"/>
      <c r="C27" s="128" t="s">
        <v>765</v>
      </c>
      <c r="D27" s="131"/>
      <c r="E27" s="279"/>
      <c r="F27" s="280">
        <v>200</v>
      </c>
      <c r="G27" s="281">
        <v>0.05</v>
      </c>
      <c r="H27" s="279">
        <f>E16</f>
        <v>946700000</v>
      </c>
      <c r="I27" s="107"/>
      <c r="J27" s="107"/>
      <c r="K27" s="279">
        <v>236675</v>
      </c>
    </row>
    <row r="28" ht="17.25" customHeight="1" spans="1:11">
      <c r="A28" s="265">
        <v>2</v>
      </c>
      <c r="B28" s="266" t="s">
        <v>614</v>
      </c>
      <c r="C28" s="267" t="s">
        <v>615</v>
      </c>
      <c r="D28" s="266" t="s">
        <v>612</v>
      </c>
      <c r="E28" s="268">
        <v>2757600000</v>
      </c>
      <c r="F28" s="269"/>
      <c r="G28" s="270"/>
      <c r="H28" s="271"/>
      <c r="I28" s="282"/>
      <c r="J28" s="282"/>
      <c r="K28" s="283">
        <v>2882825</v>
      </c>
    </row>
    <row r="29" ht="18" customHeight="1" spans="1:11">
      <c r="A29" s="272"/>
      <c r="B29" s="273"/>
      <c r="C29" s="274" t="s">
        <v>756</v>
      </c>
      <c r="D29" s="273"/>
      <c r="E29" s="275"/>
      <c r="F29" s="276"/>
      <c r="G29" s="277"/>
      <c r="H29" s="275"/>
      <c r="I29" s="284"/>
      <c r="J29" s="284"/>
      <c r="K29" s="275">
        <v>220931.5</v>
      </c>
    </row>
    <row r="30" ht="17.25" customHeight="1" spans="1:11">
      <c r="A30" s="278"/>
      <c r="B30" s="131"/>
      <c r="C30" s="128" t="s">
        <v>766</v>
      </c>
      <c r="D30" s="131" t="s">
        <v>691</v>
      </c>
      <c r="E30" s="279"/>
      <c r="F30" s="280"/>
      <c r="G30" s="246">
        <v>120</v>
      </c>
      <c r="H30" s="279">
        <v>1720.65</v>
      </c>
      <c r="I30" s="285">
        <v>1.07</v>
      </c>
      <c r="J30" s="107"/>
      <c r="K30" s="279">
        <v>220931.5</v>
      </c>
    </row>
    <row r="31" ht="18" customHeight="1" spans="1:11">
      <c r="A31" s="272"/>
      <c r="B31" s="273"/>
      <c r="C31" s="274" t="s">
        <v>758</v>
      </c>
      <c r="D31" s="273"/>
      <c r="E31" s="275"/>
      <c r="F31" s="276"/>
      <c r="G31" s="277"/>
      <c r="H31" s="275"/>
      <c r="I31" s="284"/>
      <c r="J31" s="284"/>
      <c r="K31" s="275">
        <v>544450.5</v>
      </c>
    </row>
    <row r="32" ht="17.25" customHeight="1" spans="1:11">
      <c r="A32" s="278"/>
      <c r="B32" s="131"/>
      <c r="C32" s="128" t="s">
        <v>759</v>
      </c>
      <c r="D32" s="131"/>
      <c r="E32" s="279"/>
      <c r="F32" s="280"/>
      <c r="G32" s="246">
        <v>1</v>
      </c>
      <c r="H32" s="279"/>
      <c r="I32" s="107"/>
      <c r="J32" s="107"/>
      <c r="K32" s="279">
        <v>205596.7</v>
      </c>
    </row>
    <row r="33" ht="17.25" customHeight="1" spans="1:11">
      <c r="A33" s="278"/>
      <c r="B33" s="131"/>
      <c r="C33" s="128" t="s">
        <v>760</v>
      </c>
      <c r="D33" s="131"/>
      <c r="E33" s="279"/>
      <c r="F33" s="280"/>
      <c r="G33" s="246">
        <v>2.16</v>
      </c>
      <c r="H33" s="279">
        <f>D13</f>
        <v>2474775</v>
      </c>
      <c r="I33" s="107"/>
      <c r="J33" s="280">
        <v>26</v>
      </c>
      <c r="K33" s="279">
        <v>205596.7</v>
      </c>
    </row>
    <row r="34" ht="17.25" customHeight="1" spans="1:11">
      <c r="A34" s="278"/>
      <c r="B34" s="131"/>
      <c r="C34" s="128" t="s">
        <v>767</v>
      </c>
      <c r="D34" s="131"/>
      <c r="E34" s="279"/>
      <c r="F34" s="280"/>
      <c r="G34" s="246">
        <v>1</v>
      </c>
      <c r="H34" s="279"/>
      <c r="I34" s="107"/>
      <c r="J34" s="107"/>
      <c r="K34" s="279">
        <v>338853.8</v>
      </c>
    </row>
    <row r="35" ht="17.25" customHeight="1" spans="1:11">
      <c r="A35" s="278"/>
      <c r="B35" s="131"/>
      <c r="C35" s="128" t="s">
        <v>760</v>
      </c>
      <c r="D35" s="131"/>
      <c r="E35" s="279"/>
      <c r="F35" s="280"/>
      <c r="G35" s="246">
        <v>3.56</v>
      </c>
      <c r="H35" s="279">
        <f>D13</f>
        <v>2474775</v>
      </c>
      <c r="I35" s="107"/>
      <c r="J35" s="280">
        <v>26</v>
      </c>
      <c r="K35" s="279">
        <v>338853.8</v>
      </c>
    </row>
    <row r="36" ht="18" customHeight="1" spans="1:11">
      <c r="A36" s="272"/>
      <c r="B36" s="273"/>
      <c r="C36" s="274" t="s">
        <v>762</v>
      </c>
      <c r="D36" s="273"/>
      <c r="E36" s="275"/>
      <c r="F36" s="276"/>
      <c r="G36" s="277"/>
      <c r="H36" s="275"/>
      <c r="I36" s="284"/>
      <c r="J36" s="284"/>
      <c r="K36" s="275">
        <f>SUM(K37:K39)</f>
        <v>2117442.9</v>
      </c>
    </row>
    <row r="37" ht="17.25" customHeight="1" spans="1:11">
      <c r="A37" s="278"/>
      <c r="B37" s="131"/>
      <c r="C37" s="128" t="s">
        <v>763</v>
      </c>
      <c r="D37" s="131"/>
      <c r="E37" s="279"/>
      <c r="F37" s="280">
        <v>280</v>
      </c>
      <c r="G37" s="281">
        <v>0.13</v>
      </c>
      <c r="H37" s="279">
        <f>E28</f>
        <v>2757600000</v>
      </c>
      <c r="I37" s="286">
        <v>0.9</v>
      </c>
      <c r="J37" s="107"/>
      <c r="K37" s="279">
        <v>1152282.9</v>
      </c>
    </row>
    <row r="38" ht="17.25" customHeight="1" spans="1:11">
      <c r="A38" s="278"/>
      <c r="B38" s="131"/>
      <c r="C38" s="128" t="s">
        <v>764</v>
      </c>
      <c r="D38" s="131"/>
      <c r="E38" s="279"/>
      <c r="F38" s="280">
        <v>280</v>
      </c>
      <c r="G38" s="281">
        <v>0.038</v>
      </c>
      <c r="H38" s="279">
        <f>E28</f>
        <v>2757600000</v>
      </c>
      <c r="I38" s="107"/>
      <c r="J38" s="107"/>
      <c r="K38" s="279">
        <v>374245.7</v>
      </c>
    </row>
    <row r="39" ht="17.25" customHeight="1" spans="1:11">
      <c r="A39" s="278"/>
      <c r="B39" s="131"/>
      <c r="C39" s="128" t="s">
        <v>765</v>
      </c>
      <c r="D39" s="131"/>
      <c r="E39" s="279"/>
      <c r="F39" s="280">
        <v>280</v>
      </c>
      <c r="G39" s="281">
        <v>0.06</v>
      </c>
      <c r="H39" s="279">
        <f>E28</f>
        <v>2757600000</v>
      </c>
      <c r="I39" s="107"/>
      <c r="J39" s="107"/>
      <c r="K39" s="279">
        <v>590914.3</v>
      </c>
    </row>
    <row r="40" ht="17.25" customHeight="1" spans="1:11">
      <c r="A40" s="265">
        <v>3</v>
      </c>
      <c r="B40" s="266" t="s">
        <v>617</v>
      </c>
      <c r="C40" s="267" t="s">
        <v>618</v>
      </c>
      <c r="D40" s="266" t="s">
        <v>619</v>
      </c>
      <c r="E40" s="268">
        <v>8750000</v>
      </c>
      <c r="F40" s="269"/>
      <c r="G40" s="270"/>
      <c r="H40" s="271"/>
      <c r="I40" s="282"/>
      <c r="J40" s="282"/>
      <c r="K40" s="283">
        <v>238130</v>
      </c>
    </row>
    <row r="41" ht="18" customHeight="1" spans="1:11">
      <c r="A41" s="272"/>
      <c r="B41" s="273"/>
      <c r="C41" s="274" t="s">
        <v>756</v>
      </c>
      <c r="D41" s="273"/>
      <c r="E41" s="275"/>
      <c r="F41" s="276"/>
      <c r="G41" s="277"/>
      <c r="H41" s="275"/>
      <c r="I41" s="284"/>
      <c r="J41" s="284"/>
      <c r="K41" s="275">
        <v>4971</v>
      </c>
    </row>
    <row r="42" ht="17.25" customHeight="1" spans="1:11">
      <c r="A42" s="278"/>
      <c r="B42" s="131"/>
      <c r="C42" s="128" t="s">
        <v>766</v>
      </c>
      <c r="D42" s="131" t="s">
        <v>691</v>
      </c>
      <c r="E42" s="279"/>
      <c r="F42" s="280"/>
      <c r="G42" s="246">
        <v>2.7</v>
      </c>
      <c r="H42" s="279">
        <v>1720.65</v>
      </c>
      <c r="I42" s="285">
        <v>1.07</v>
      </c>
      <c r="J42" s="107"/>
      <c r="K42" s="279">
        <v>4971</v>
      </c>
    </row>
    <row r="43" ht="18" customHeight="1" spans="1:11">
      <c r="A43" s="272"/>
      <c r="B43" s="273"/>
      <c r="C43" s="274" t="s">
        <v>758</v>
      </c>
      <c r="D43" s="273"/>
      <c r="E43" s="275"/>
      <c r="F43" s="276"/>
      <c r="G43" s="277"/>
      <c r="H43" s="275"/>
      <c r="I43" s="284"/>
      <c r="J43" s="284"/>
      <c r="K43" s="275">
        <v>205596.7</v>
      </c>
    </row>
    <row r="44" ht="17.25" customHeight="1" spans="1:11">
      <c r="A44" s="278"/>
      <c r="B44" s="131"/>
      <c r="C44" s="128" t="s">
        <v>759</v>
      </c>
      <c r="D44" s="131"/>
      <c r="E44" s="279"/>
      <c r="F44" s="280"/>
      <c r="G44" s="246">
        <v>1</v>
      </c>
      <c r="H44" s="279"/>
      <c r="I44" s="107"/>
      <c r="J44" s="107"/>
      <c r="K44" s="279">
        <v>205596.7</v>
      </c>
    </row>
    <row r="45" ht="17.25" customHeight="1" spans="1:11">
      <c r="A45" s="278"/>
      <c r="B45" s="131"/>
      <c r="C45" s="128" t="s">
        <v>760</v>
      </c>
      <c r="D45" s="131"/>
      <c r="E45" s="279"/>
      <c r="F45" s="280"/>
      <c r="G45" s="246">
        <v>2.16</v>
      </c>
      <c r="H45" s="279">
        <f>D13</f>
        <v>2474775</v>
      </c>
      <c r="I45" s="107"/>
      <c r="J45" s="280">
        <v>26</v>
      </c>
      <c r="K45" s="279">
        <v>205596.7</v>
      </c>
    </row>
    <row r="46" ht="18" customHeight="1" spans="1:11">
      <c r="A46" s="272"/>
      <c r="B46" s="273"/>
      <c r="C46" s="274" t="s">
        <v>762</v>
      </c>
      <c r="D46" s="273"/>
      <c r="E46" s="275"/>
      <c r="F46" s="276"/>
      <c r="G46" s="277"/>
      <c r="H46" s="275"/>
      <c r="I46" s="284"/>
      <c r="J46" s="284"/>
      <c r="K46" s="275">
        <f>SUM(K47:K49)</f>
        <v>27562.5</v>
      </c>
    </row>
    <row r="47" ht="17.25" customHeight="1" spans="1:11">
      <c r="A47" s="278"/>
      <c r="B47" s="131"/>
      <c r="C47" s="128" t="s">
        <v>763</v>
      </c>
      <c r="D47" s="131"/>
      <c r="E47" s="279"/>
      <c r="F47" s="280">
        <v>100</v>
      </c>
      <c r="G47" s="281">
        <v>0.2</v>
      </c>
      <c r="H47" s="279">
        <f>E40</f>
        <v>8750000</v>
      </c>
      <c r="I47" s="286">
        <v>1</v>
      </c>
      <c r="J47" s="107"/>
      <c r="K47" s="279">
        <v>17500</v>
      </c>
    </row>
    <row r="48" ht="17.25" customHeight="1" spans="1:11">
      <c r="A48" s="278"/>
      <c r="B48" s="131"/>
      <c r="C48" s="128" t="s">
        <v>764</v>
      </c>
      <c r="D48" s="131"/>
      <c r="E48" s="279"/>
      <c r="F48" s="280">
        <v>100</v>
      </c>
      <c r="G48" s="281">
        <v>0.075</v>
      </c>
      <c r="H48" s="279">
        <f>E40</f>
        <v>8750000</v>
      </c>
      <c r="I48" s="107"/>
      <c r="J48" s="107"/>
      <c r="K48" s="279">
        <v>6562.5</v>
      </c>
    </row>
    <row r="49" ht="17.25" customHeight="1" spans="1:11">
      <c r="A49" s="278"/>
      <c r="B49" s="131"/>
      <c r="C49" s="128" t="s">
        <v>765</v>
      </c>
      <c r="D49" s="131"/>
      <c r="E49" s="279"/>
      <c r="F49" s="280">
        <v>100</v>
      </c>
      <c r="G49" s="281">
        <v>0.04</v>
      </c>
      <c r="H49" s="279">
        <f>E40</f>
        <v>8750000</v>
      </c>
      <c r="I49" s="107"/>
      <c r="J49" s="107"/>
      <c r="K49" s="279">
        <v>3500</v>
      </c>
    </row>
    <row r="50" ht="17.25" customHeight="1" spans="1:11">
      <c r="A50" s="265">
        <v>4</v>
      </c>
      <c r="B50" s="266" t="s">
        <v>621</v>
      </c>
      <c r="C50" s="267" t="s">
        <v>622</v>
      </c>
      <c r="D50" s="266" t="s">
        <v>612</v>
      </c>
      <c r="E50" s="268">
        <v>18200000</v>
      </c>
      <c r="F50" s="269"/>
      <c r="G50" s="270"/>
      <c r="H50" s="271"/>
      <c r="I50" s="282"/>
      <c r="J50" s="282"/>
      <c r="K50" s="283">
        <v>240449</v>
      </c>
    </row>
    <row r="51" ht="18" customHeight="1" spans="1:11">
      <c r="A51" s="272"/>
      <c r="B51" s="273"/>
      <c r="C51" s="274" t="s">
        <v>756</v>
      </c>
      <c r="D51" s="273"/>
      <c r="E51" s="275"/>
      <c r="F51" s="276"/>
      <c r="G51" s="277"/>
      <c r="H51" s="275"/>
      <c r="I51" s="284"/>
      <c r="J51" s="284"/>
      <c r="K51" s="275">
        <v>16569.9</v>
      </c>
    </row>
    <row r="52" ht="17.25" customHeight="1" spans="1:11">
      <c r="A52" s="278"/>
      <c r="B52" s="131"/>
      <c r="C52" s="128" t="s">
        <v>766</v>
      </c>
      <c r="D52" s="131" t="s">
        <v>691</v>
      </c>
      <c r="E52" s="279"/>
      <c r="F52" s="280"/>
      <c r="G52" s="246">
        <v>9</v>
      </c>
      <c r="H52" s="279">
        <v>1720.65</v>
      </c>
      <c r="I52" s="285">
        <v>1.07</v>
      </c>
      <c r="J52" s="107"/>
      <c r="K52" s="279">
        <v>16569.9</v>
      </c>
    </row>
    <row r="53" ht="18" customHeight="1" spans="1:11">
      <c r="A53" s="272"/>
      <c r="B53" s="273"/>
      <c r="C53" s="274" t="s">
        <v>758</v>
      </c>
      <c r="D53" s="273"/>
      <c r="E53" s="275"/>
      <c r="F53" s="276"/>
      <c r="G53" s="277"/>
      <c r="H53" s="275"/>
      <c r="I53" s="284"/>
      <c r="J53" s="284"/>
      <c r="K53" s="275">
        <v>205596.7</v>
      </c>
    </row>
    <row r="54" ht="17.25" customHeight="1" spans="1:11">
      <c r="A54" s="278"/>
      <c r="B54" s="131"/>
      <c r="C54" s="128" t="s">
        <v>759</v>
      </c>
      <c r="D54" s="131"/>
      <c r="E54" s="279"/>
      <c r="F54" s="280"/>
      <c r="G54" s="246">
        <v>1</v>
      </c>
      <c r="H54" s="279"/>
      <c r="I54" s="107"/>
      <c r="J54" s="107"/>
      <c r="K54" s="279">
        <v>205596.7</v>
      </c>
    </row>
    <row r="55" ht="17.25" customHeight="1" spans="1:11">
      <c r="A55" s="278"/>
      <c r="B55" s="131"/>
      <c r="C55" s="128" t="s">
        <v>760</v>
      </c>
      <c r="D55" s="131"/>
      <c r="E55" s="279"/>
      <c r="F55" s="280"/>
      <c r="G55" s="246">
        <v>2.16</v>
      </c>
      <c r="H55" s="279">
        <f>D13</f>
        <v>2474775</v>
      </c>
      <c r="I55" s="107"/>
      <c r="J55" s="280">
        <v>26</v>
      </c>
      <c r="K55" s="279">
        <v>205596.7</v>
      </c>
    </row>
    <row r="56" ht="18" customHeight="1" spans="1:11">
      <c r="A56" s="272"/>
      <c r="B56" s="273"/>
      <c r="C56" s="274" t="s">
        <v>762</v>
      </c>
      <c r="D56" s="273"/>
      <c r="E56" s="275"/>
      <c r="F56" s="276"/>
      <c r="G56" s="277"/>
      <c r="H56" s="275"/>
      <c r="I56" s="284"/>
      <c r="J56" s="284"/>
      <c r="K56" s="275">
        <f>SUM(K57:K59)</f>
        <v>18282.7</v>
      </c>
    </row>
    <row r="57" ht="17.25" customHeight="1" spans="1:11">
      <c r="A57" s="278"/>
      <c r="B57" s="131"/>
      <c r="C57" s="128" t="s">
        <v>763</v>
      </c>
      <c r="D57" s="131"/>
      <c r="E57" s="279"/>
      <c r="F57" s="280">
        <v>220</v>
      </c>
      <c r="G57" s="281">
        <v>0.14</v>
      </c>
      <c r="H57" s="279">
        <f>E50</f>
        <v>18200000</v>
      </c>
      <c r="I57" s="286">
        <v>1</v>
      </c>
      <c r="J57" s="107"/>
      <c r="K57" s="279">
        <v>11581.8</v>
      </c>
    </row>
    <row r="58" ht="17.25" customHeight="1" spans="1:11">
      <c r="A58" s="278"/>
      <c r="B58" s="131"/>
      <c r="C58" s="128" t="s">
        <v>764</v>
      </c>
      <c r="D58" s="131"/>
      <c r="E58" s="279"/>
      <c r="F58" s="280">
        <v>220</v>
      </c>
      <c r="G58" s="281">
        <v>0.041</v>
      </c>
      <c r="H58" s="279">
        <f>E50</f>
        <v>18200000</v>
      </c>
      <c r="I58" s="107"/>
      <c r="J58" s="107"/>
      <c r="K58" s="279">
        <v>3391.8</v>
      </c>
    </row>
    <row r="59" ht="17.25" customHeight="1" spans="1:11">
      <c r="A59" s="278"/>
      <c r="B59" s="131"/>
      <c r="C59" s="128" t="s">
        <v>765</v>
      </c>
      <c r="D59" s="131"/>
      <c r="E59" s="279"/>
      <c r="F59" s="280">
        <v>220</v>
      </c>
      <c r="G59" s="281">
        <v>0.04</v>
      </c>
      <c r="H59" s="279">
        <f>E50</f>
        <v>18200000</v>
      </c>
      <c r="I59" s="107"/>
      <c r="J59" s="107"/>
      <c r="K59" s="279">
        <v>3309.1</v>
      </c>
    </row>
    <row r="60" ht="17.25" customHeight="1" spans="1:11">
      <c r="A60" s="265">
        <v>5</v>
      </c>
      <c r="B60" s="266" t="s">
        <v>624</v>
      </c>
      <c r="C60" s="267" t="s">
        <v>625</v>
      </c>
      <c r="D60" s="266" t="s">
        <v>612</v>
      </c>
      <c r="E60" s="268">
        <v>1068900000</v>
      </c>
      <c r="F60" s="269"/>
      <c r="G60" s="270"/>
      <c r="H60" s="271"/>
      <c r="I60" s="282"/>
      <c r="J60" s="282"/>
      <c r="K60" s="283">
        <v>2579554</v>
      </c>
    </row>
    <row r="61" ht="18" customHeight="1" spans="1:11">
      <c r="A61" s="272"/>
      <c r="B61" s="273"/>
      <c r="C61" s="274" t="s">
        <v>756</v>
      </c>
      <c r="D61" s="273"/>
      <c r="E61" s="275"/>
      <c r="F61" s="276"/>
      <c r="G61" s="277"/>
      <c r="H61" s="275"/>
      <c r="I61" s="284"/>
      <c r="J61" s="284"/>
      <c r="K61" s="275">
        <v>1014443.2</v>
      </c>
    </row>
    <row r="62" ht="17.25" customHeight="1" spans="1:11">
      <c r="A62" s="278"/>
      <c r="B62" s="131"/>
      <c r="C62" s="128" t="s">
        <v>757</v>
      </c>
      <c r="D62" s="131" t="s">
        <v>687</v>
      </c>
      <c r="E62" s="279"/>
      <c r="F62" s="280"/>
      <c r="G62" s="246">
        <v>65</v>
      </c>
      <c r="H62" s="279">
        <v>14863.6363636364</v>
      </c>
      <c r="I62" s="285">
        <v>1.05</v>
      </c>
      <c r="J62" s="107"/>
      <c r="K62" s="279">
        <v>1014443.2</v>
      </c>
    </row>
    <row r="63" ht="18" customHeight="1" spans="1:11">
      <c r="A63" s="272"/>
      <c r="B63" s="273"/>
      <c r="C63" s="274" t="s">
        <v>758</v>
      </c>
      <c r="D63" s="273"/>
      <c r="E63" s="275"/>
      <c r="F63" s="276"/>
      <c r="G63" s="277"/>
      <c r="H63" s="275"/>
      <c r="I63" s="284"/>
      <c r="J63" s="284"/>
      <c r="K63" s="275">
        <v>492099.5</v>
      </c>
    </row>
    <row r="64" ht="17.25" customHeight="1" spans="1:11">
      <c r="A64" s="278"/>
      <c r="B64" s="131"/>
      <c r="C64" s="128" t="s">
        <v>759</v>
      </c>
      <c r="D64" s="131"/>
      <c r="E64" s="279"/>
      <c r="F64" s="280"/>
      <c r="G64" s="246">
        <v>1</v>
      </c>
      <c r="H64" s="279"/>
      <c r="I64" s="107"/>
      <c r="J64" s="107"/>
      <c r="K64" s="279">
        <v>205596.7</v>
      </c>
    </row>
    <row r="65" ht="17.25" customHeight="1" spans="1:11">
      <c r="A65" s="278"/>
      <c r="B65" s="131"/>
      <c r="C65" s="128" t="s">
        <v>760</v>
      </c>
      <c r="D65" s="131"/>
      <c r="E65" s="279"/>
      <c r="F65" s="280"/>
      <c r="G65" s="246">
        <v>2.16</v>
      </c>
      <c r="H65" s="279">
        <f>D13</f>
        <v>2474775</v>
      </c>
      <c r="I65" s="107"/>
      <c r="J65" s="280">
        <v>26</v>
      </c>
      <c r="K65" s="279">
        <v>205596.7</v>
      </c>
    </row>
    <row r="66" ht="17.25" customHeight="1" spans="1:11">
      <c r="A66" s="278"/>
      <c r="B66" s="131"/>
      <c r="C66" s="128" t="s">
        <v>761</v>
      </c>
      <c r="D66" s="131"/>
      <c r="E66" s="279"/>
      <c r="F66" s="280"/>
      <c r="G66" s="246">
        <v>1</v>
      </c>
      <c r="H66" s="279"/>
      <c r="I66" s="107"/>
      <c r="J66" s="107"/>
      <c r="K66" s="279">
        <v>286502.8</v>
      </c>
    </row>
    <row r="67" ht="17.25" customHeight="1" spans="1:11">
      <c r="A67" s="278"/>
      <c r="B67" s="131"/>
      <c r="C67" s="128" t="s">
        <v>760</v>
      </c>
      <c r="D67" s="131"/>
      <c r="E67" s="279"/>
      <c r="F67" s="280"/>
      <c r="G67" s="246">
        <v>3.01</v>
      </c>
      <c r="H67" s="279">
        <f>D13</f>
        <v>2474775</v>
      </c>
      <c r="I67" s="107"/>
      <c r="J67" s="280">
        <v>26</v>
      </c>
      <c r="K67" s="279">
        <v>286502.8</v>
      </c>
    </row>
    <row r="68" ht="18" customHeight="1" spans="1:11">
      <c r="A68" s="272"/>
      <c r="B68" s="273"/>
      <c r="C68" s="274" t="s">
        <v>762</v>
      </c>
      <c r="D68" s="273"/>
      <c r="E68" s="275"/>
      <c r="F68" s="276"/>
      <c r="G68" s="277"/>
      <c r="H68" s="275"/>
      <c r="I68" s="284"/>
      <c r="J68" s="284"/>
      <c r="K68" s="275">
        <f>SUM(K69:K71)</f>
        <v>1073011.1</v>
      </c>
    </row>
    <row r="69" ht="17.25" customHeight="1" spans="1:11">
      <c r="A69" s="278"/>
      <c r="B69" s="131"/>
      <c r="C69" s="128" t="s">
        <v>763</v>
      </c>
      <c r="D69" s="131"/>
      <c r="E69" s="279"/>
      <c r="F69" s="280">
        <v>260</v>
      </c>
      <c r="G69" s="281">
        <v>0.17</v>
      </c>
      <c r="H69" s="279">
        <f>E60</f>
        <v>1068900000</v>
      </c>
      <c r="I69" s="286">
        <v>0.9</v>
      </c>
      <c r="J69" s="107"/>
      <c r="K69" s="279">
        <v>629006.5</v>
      </c>
    </row>
    <row r="70" ht="17.25" customHeight="1" spans="1:11">
      <c r="A70" s="278"/>
      <c r="B70" s="131"/>
      <c r="C70" s="128" t="s">
        <v>764</v>
      </c>
      <c r="D70" s="131"/>
      <c r="E70" s="279"/>
      <c r="F70" s="280">
        <v>260</v>
      </c>
      <c r="G70" s="281">
        <v>0.058</v>
      </c>
      <c r="H70" s="279">
        <f>E60</f>
        <v>1068900000</v>
      </c>
      <c r="I70" s="107"/>
      <c r="J70" s="107"/>
      <c r="K70" s="279">
        <v>238446.9</v>
      </c>
    </row>
    <row r="71" ht="17.25" customHeight="1" spans="1:11">
      <c r="A71" s="278"/>
      <c r="B71" s="131"/>
      <c r="C71" s="128" t="s">
        <v>765</v>
      </c>
      <c r="D71" s="131"/>
      <c r="E71" s="279"/>
      <c r="F71" s="280">
        <v>260</v>
      </c>
      <c r="G71" s="281">
        <v>0.05</v>
      </c>
      <c r="H71" s="279">
        <f>E60</f>
        <v>1068900000</v>
      </c>
      <c r="I71" s="107"/>
      <c r="J71" s="107"/>
      <c r="K71" s="279">
        <v>205557.7</v>
      </c>
    </row>
    <row r="72" ht="17.25" customHeight="1" spans="1:11">
      <c r="A72" s="265">
        <v>6</v>
      </c>
      <c r="B72" s="266" t="s">
        <v>627</v>
      </c>
      <c r="C72" s="267" t="s">
        <v>628</v>
      </c>
      <c r="D72" s="266" t="s">
        <v>612</v>
      </c>
      <c r="E72" s="268">
        <v>5600000</v>
      </c>
      <c r="F72" s="269"/>
      <c r="G72" s="270"/>
      <c r="H72" s="271"/>
      <c r="I72" s="282"/>
      <c r="J72" s="282"/>
      <c r="K72" s="283">
        <v>234046</v>
      </c>
    </row>
    <row r="73" ht="18" customHeight="1" spans="1:11">
      <c r="A73" s="272"/>
      <c r="B73" s="273"/>
      <c r="C73" s="274" t="s">
        <v>756</v>
      </c>
      <c r="D73" s="273"/>
      <c r="E73" s="275"/>
      <c r="F73" s="276"/>
      <c r="G73" s="277"/>
      <c r="H73" s="275"/>
      <c r="I73" s="284"/>
      <c r="J73" s="284"/>
      <c r="K73" s="275">
        <v>9205.5</v>
      </c>
    </row>
    <row r="74" ht="17.25" customHeight="1" spans="1:11">
      <c r="A74" s="278"/>
      <c r="B74" s="131"/>
      <c r="C74" s="128" t="s">
        <v>766</v>
      </c>
      <c r="D74" s="131" t="s">
        <v>691</v>
      </c>
      <c r="E74" s="279"/>
      <c r="F74" s="280"/>
      <c r="G74" s="246">
        <v>5</v>
      </c>
      <c r="H74" s="279">
        <v>1720.65</v>
      </c>
      <c r="I74" s="285">
        <v>1.07</v>
      </c>
      <c r="J74" s="107"/>
      <c r="K74" s="279">
        <v>9205.5</v>
      </c>
    </row>
    <row r="75" ht="18" customHeight="1" spans="1:11">
      <c r="A75" s="272"/>
      <c r="B75" s="273"/>
      <c r="C75" s="274" t="s">
        <v>758</v>
      </c>
      <c r="D75" s="273"/>
      <c r="E75" s="275"/>
      <c r="F75" s="276"/>
      <c r="G75" s="277"/>
      <c r="H75" s="275"/>
      <c r="I75" s="284"/>
      <c r="J75" s="284"/>
      <c r="K75" s="275">
        <v>205596.7</v>
      </c>
    </row>
    <row r="76" ht="17.25" customHeight="1" spans="1:11">
      <c r="A76" s="278"/>
      <c r="B76" s="131"/>
      <c r="C76" s="128" t="s">
        <v>759</v>
      </c>
      <c r="D76" s="131"/>
      <c r="E76" s="279"/>
      <c r="F76" s="280"/>
      <c r="G76" s="246">
        <v>1</v>
      </c>
      <c r="H76" s="279"/>
      <c r="I76" s="107"/>
      <c r="J76" s="107"/>
      <c r="K76" s="279">
        <v>205596.7</v>
      </c>
    </row>
    <row r="77" ht="17.25" customHeight="1" spans="1:11">
      <c r="A77" s="278"/>
      <c r="B77" s="131"/>
      <c r="C77" s="128" t="s">
        <v>760</v>
      </c>
      <c r="D77" s="131"/>
      <c r="E77" s="279"/>
      <c r="F77" s="280"/>
      <c r="G77" s="246">
        <v>2.16</v>
      </c>
      <c r="H77" s="279">
        <f>D13</f>
        <v>2474775</v>
      </c>
      <c r="I77" s="107"/>
      <c r="J77" s="280">
        <v>26</v>
      </c>
      <c r="K77" s="279">
        <v>205596.7</v>
      </c>
    </row>
    <row r="78" ht="18" customHeight="1" spans="1:11">
      <c r="A78" s="272"/>
      <c r="B78" s="273"/>
      <c r="C78" s="274" t="s">
        <v>762</v>
      </c>
      <c r="D78" s="273"/>
      <c r="E78" s="275"/>
      <c r="F78" s="276"/>
      <c r="G78" s="277"/>
      <c r="H78" s="275"/>
      <c r="I78" s="284"/>
      <c r="J78" s="284"/>
      <c r="K78" s="275">
        <f>SUM(K79:K81)</f>
        <v>19243.7</v>
      </c>
    </row>
    <row r="79" ht="17.25" customHeight="1" spans="1:11">
      <c r="A79" s="278"/>
      <c r="B79" s="131"/>
      <c r="C79" s="128" t="s">
        <v>763</v>
      </c>
      <c r="D79" s="131"/>
      <c r="E79" s="279"/>
      <c r="F79" s="280">
        <v>110</v>
      </c>
      <c r="G79" s="281">
        <v>0.25</v>
      </c>
      <c r="H79" s="279">
        <f>E72</f>
        <v>5600000</v>
      </c>
      <c r="I79" s="286">
        <v>1</v>
      </c>
      <c r="J79" s="107"/>
      <c r="K79" s="279">
        <v>12727.3</v>
      </c>
    </row>
    <row r="80" ht="17.25" customHeight="1" spans="1:11">
      <c r="A80" s="278"/>
      <c r="B80" s="131"/>
      <c r="C80" s="128" t="s">
        <v>764</v>
      </c>
      <c r="D80" s="131"/>
      <c r="E80" s="279"/>
      <c r="F80" s="280">
        <v>110</v>
      </c>
      <c r="G80" s="281">
        <v>0.088</v>
      </c>
      <c r="H80" s="279">
        <f>E72</f>
        <v>5600000</v>
      </c>
      <c r="I80" s="107"/>
      <c r="J80" s="107"/>
      <c r="K80" s="279">
        <v>4480</v>
      </c>
    </row>
    <row r="81" ht="17.25" customHeight="1" spans="1:11">
      <c r="A81" s="278"/>
      <c r="B81" s="131"/>
      <c r="C81" s="128" t="s">
        <v>765</v>
      </c>
      <c r="D81" s="131"/>
      <c r="E81" s="279"/>
      <c r="F81" s="280">
        <v>110</v>
      </c>
      <c r="G81" s="281">
        <v>0.04</v>
      </c>
      <c r="H81" s="279">
        <f>E72</f>
        <v>5600000</v>
      </c>
      <c r="I81" s="107"/>
      <c r="J81" s="107"/>
      <c r="K81" s="279">
        <v>2036.4</v>
      </c>
    </row>
    <row r="82" ht="17.25" customHeight="1" spans="1:11">
      <c r="A82" s="265">
        <v>7</v>
      </c>
      <c r="B82" s="266" t="s">
        <v>630</v>
      </c>
      <c r="C82" s="267" t="s">
        <v>631</v>
      </c>
      <c r="D82" s="266" t="s">
        <v>612</v>
      </c>
      <c r="E82" s="268">
        <v>28900000</v>
      </c>
      <c r="F82" s="269"/>
      <c r="G82" s="270"/>
      <c r="H82" s="271"/>
      <c r="I82" s="282"/>
      <c r="J82" s="282"/>
      <c r="K82" s="283">
        <v>324280</v>
      </c>
    </row>
    <row r="83" ht="18" customHeight="1" spans="1:11">
      <c r="A83" s="272"/>
      <c r="B83" s="273"/>
      <c r="C83" s="274" t="s">
        <v>756</v>
      </c>
      <c r="D83" s="273"/>
      <c r="E83" s="275"/>
      <c r="F83" s="276"/>
      <c r="G83" s="277"/>
      <c r="H83" s="275"/>
      <c r="I83" s="284"/>
      <c r="J83" s="284"/>
      <c r="K83" s="275">
        <v>62038.8</v>
      </c>
    </row>
    <row r="84" ht="17.25" customHeight="1" spans="1:11">
      <c r="A84" s="278"/>
      <c r="B84" s="131"/>
      <c r="C84" s="128" t="s">
        <v>768</v>
      </c>
      <c r="D84" s="131" t="s">
        <v>687</v>
      </c>
      <c r="E84" s="279"/>
      <c r="F84" s="280"/>
      <c r="G84" s="246">
        <v>3.5</v>
      </c>
      <c r="H84" s="279">
        <v>17209.0909090909</v>
      </c>
      <c r="I84" s="285">
        <v>1.03</v>
      </c>
      <c r="J84" s="107"/>
      <c r="K84" s="279">
        <v>62038.8</v>
      </c>
    </row>
    <row r="85" ht="18" customHeight="1" spans="1:11">
      <c r="A85" s="272"/>
      <c r="B85" s="273"/>
      <c r="C85" s="274" t="s">
        <v>758</v>
      </c>
      <c r="D85" s="273"/>
      <c r="E85" s="275"/>
      <c r="F85" s="276"/>
      <c r="G85" s="277"/>
      <c r="H85" s="275"/>
      <c r="I85" s="284"/>
      <c r="J85" s="284"/>
      <c r="K85" s="275">
        <v>205596.7</v>
      </c>
    </row>
    <row r="86" ht="17.25" customHeight="1" spans="1:11">
      <c r="A86" s="278"/>
      <c r="B86" s="131"/>
      <c r="C86" s="128" t="s">
        <v>759</v>
      </c>
      <c r="D86" s="131"/>
      <c r="E86" s="279"/>
      <c r="F86" s="280"/>
      <c r="G86" s="246">
        <v>1</v>
      </c>
      <c r="H86" s="279"/>
      <c r="I86" s="107"/>
      <c r="J86" s="107"/>
      <c r="K86" s="279">
        <v>205596.7</v>
      </c>
    </row>
    <row r="87" ht="17.25" customHeight="1" spans="1:11">
      <c r="A87" s="278"/>
      <c r="B87" s="131"/>
      <c r="C87" s="128" t="s">
        <v>760</v>
      </c>
      <c r="D87" s="131"/>
      <c r="E87" s="279"/>
      <c r="F87" s="280"/>
      <c r="G87" s="246">
        <v>2.16</v>
      </c>
      <c r="H87" s="279">
        <f>D13</f>
        <v>2474775</v>
      </c>
      <c r="I87" s="107"/>
      <c r="J87" s="280">
        <v>26</v>
      </c>
      <c r="K87" s="279">
        <v>205596.7</v>
      </c>
    </row>
    <row r="88" ht="18" customHeight="1" spans="1:11">
      <c r="A88" s="272"/>
      <c r="B88" s="273"/>
      <c r="C88" s="274" t="s">
        <v>762</v>
      </c>
      <c r="D88" s="273"/>
      <c r="E88" s="275"/>
      <c r="F88" s="276"/>
      <c r="G88" s="277"/>
      <c r="H88" s="275"/>
      <c r="I88" s="284"/>
      <c r="J88" s="284"/>
      <c r="K88" s="275">
        <f>SUM(K89:K91)</f>
        <v>56644</v>
      </c>
    </row>
    <row r="89" ht="17.25" customHeight="1" spans="1:11">
      <c r="A89" s="278"/>
      <c r="B89" s="131"/>
      <c r="C89" s="128" t="s">
        <v>763</v>
      </c>
      <c r="D89" s="131"/>
      <c r="E89" s="279"/>
      <c r="F89" s="280">
        <v>150</v>
      </c>
      <c r="G89" s="281">
        <v>0.2</v>
      </c>
      <c r="H89" s="279">
        <f>E82</f>
        <v>28900000</v>
      </c>
      <c r="I89" s="286">
        <v>1</v>
      </c>
      <c r="J89" s="107"/>
      <c r="K89" s="279">
        <v>38533.3</v>
      </c>
    </row>
    <row r="90" ht="17.25" customHeight="1" spans="1:11">
      <c r="A90" s="278"/>
      <c r="B90" s="131"/>
      <c r="C90" s="128" t="s">
        <v>764</v>
      </c>
      <c r="D90" s="131"/>
      <c r="E90" s="279"/>
      <c r="F90" s="280">
        <v>150</v>
      </c>
      <c r="G90" s="281">
        <v>0.054</v>
      </c>
      <c r="H90" s="279">
        <f>E82</f>
        <v>28900000</v>
      </c>
      <c r="I90" s="107"/>
      <c r="J90" s="107"/>
      <c r="K90" s="279">
        <v>10404</v>
      </c>
    </row>
    <row r="91" ht="17.25" customHeight="1" spans="1:11">
      <c r="A91" s="278"/>
      <c r="B91" s="131"/>
      <c r="C91" s="128" t="s">
        <v>765</v>
      </c>
      <c r="D91" s="131"/>
      <c r="E91" s="279"/>
      <c r="F91" s="280">
        <v>150</v>
      </c>
      <c r="G91" s="281">
        <v>0.04</v>
      </c>
      <c r="H91" s="279">
        <f>E82</f>
        <v>28900000</v>
      </c>
      <c r="I91" s="107"/>
      <c r="J91" s="107"/>
      <c r="K91" s="279">
        <v>7706.7</v>
      </c>
    </row>
    <row r="92" ht="17.25" customHeight="1" spans="1:11">
      <c r="A92" s="265">
        <v>8</v>
      </c>
      <c r="B92" s="266" t="s">
        <v>633</v>
      </c>
      <c r="C92" s="267" t="s">
        <v>634</v>
      </c>
      <c r="D92" s="266" t="s">
        <v>612</v>
      </c>
      <c r="E92" s="268">
        <v>6450000</v>
      </c>
      <c r="F92" s="269"/>
      <c r="G92" s="270"/>
      <c r="H92" s="271"/>
      <c r="I92" s="282"/>
      <c r="J92" s="282"/>
      <c r="K92" s="283">
        <v>237717</v>
      </c>
    </row>
    <row r="93" ht="18" customHeight="1" spans="1:11">
      <c r="A93" s="272"/>
      <c r="B93" s="273"/>
      <c r="C93" s="274" t="s">
        <v>756</v>
      </c>
      <c r="D93" s="273"/>
      <c r="E93" s="275"/>
      <c r="F93" s="276"/>
      <c r="G93" s="277"/>
      <c r="H93" s="275"/>
      <c r="I93" s="284"/>
      <c r="J93" s="284"/>
      <c r="K93" s="275">
        <v>12887.7</v>
      </c>
    </row>
    <row r="94" ht="17.25" customHeight="1" spans="1:11">
      <c r="A94" s="278"/>
      <c r="B94" s="131"/>
      <c r="C94" s="128" t="s">
        <v>766</v>
      </c>
      <c r="D94" s="131" t="s">
        <v>691</v>
      </c>
      <c r="E94" s="279"/>
      <c r="F94" s="280"/>
      <c r="G94" s="246">
        <v>7</v>
      </c>
      <c r="H94" s="279">
        <v>1720.65</v>
      </c>
      <c r="I94" s="285">
        <v>1.07</v>
      </c>
      <c r="J94" s="107"/>
      <c r="K94" s="279">
        <v>12887.7</v>
      </c>
    </row>
    <row r="95" ht="18" customHeight="1" spans="1:11">
      <c r="A95" s="272"/>
      <c r="B95" s="273"/>
      <c r="C95" s="274" t="s">
        <v>758</v>
      </c>
      <c r="D95" s="273"/>
      <c r="E95" s="275"/>
      <c r="F95" s="276"/>
      <c r="G95" s="277"/>
      <c r="H95" s="275"/>
      <c r="I95" s="284"/>
      <c r="J95" s="284"/>
      <c r="K95" s="275">
        <v>205596.7</v>
      </c>
    </row>
    <row r="96" ht="17.25" customHeight="1" spans="1:11">
      <c r="A96" s="278"/>
      <c r="B96" s="131"/>
      <c r="C96" s="128" t="s">
        <v>759</v>
      </c>
      <c r="D96" s="131"/>
      <c r="E96" s="279"/>
      <c r="F96" s="280"/>
      <c r="G96" s="246">
        <v>1</v>
      </c>
      <c r="H96" s="279"/>
      <c r="I96" s="107"/>
      <c r="J96" s="107"/>
      <c r="K96" s="279">
        <v>205596.7</v>
      </c>
    </row>
    <row r="97" ht="17.25" customHeight="1" spans="1:11">
      <c r="A97" s="278"/>
      <c r="B97" s="131"/>
      <c r="C97" s="128" t="s">
        <v>760</v>
      </c>
      <c r="D97" s="131"/>
      <c r="E97" s="279"/>
      <c r="F97" s="280"/>
      <c r="G97" s="246">
        <v>2.16</v>
      </c>
      <c r="H97" s="279">
        <f>D13</f>
        <v>2474775</v>
      </c>
      <c r="I97" s="107"/>
      <c r="J97" s="280">
        <v>26</v>
      </c>
      <c r="K97" s="279">
        <v>205596.7</v>
      </c>
    </row>
    <row r="98" ht="18" customHeight="1" spans="1:11">
      <c r="A98" s="272"/>
      <c r="B98" s="273"/>
      <c r="C98" s="274" t="s">
        <v>762</v>
      </c>
      <c r="D98" s="273"/>
      <c r="E98" s="275"/>
      <c r="F98" s="276"/>
      <c r="G98" s="277"/>
      <c r="H98" s="275"/>
      <c r="I98" s="284"/>
      <c r="J98" s="284"/>
      <c r="K98" s="275">
        <f>SUM(K99:K101)</f>
        <v>19232.8</v>
      </c>
    </row>
    <row r="99" ht="17.25" customHeight="1" spans="1:11">
      <c r="A99" s="278"/>
      <c r="B99" s="131"/>
      <c r="C99" s="128" t="s">
        <v>763</v>
      </c>
      <c r="D99" s="131"/>
      <c r="E99" s="279"/>
      <c r="F99" s="280">
        <v>110</v>
      </c>
      <c r="G99" s="281">
        <v>0.2</v>
      </c>
      <c r="H99" s="279">
        <f>E92</f>
        <v>6450000</v>
      </c>
      <c r="I99" s="286">
        <v>1</v>
      </c>
      <c r="J99" s="107"/>
      <c r="K99" s="279">
        <v>11727.3</v>
      </c>
    </row>
    <row r="100" ht="17.25" customHeight="1" spans="1:11">
      <c r="A100" s="278"/>
      <c r="B100" s="131"/>
      <c r="C100" s="128" t="s">
        <v>764</v>
      </c>
      <c r="D100" s="131"/>
      <c r="E100" s="279"/>
      <c r="F100" s="280">
        <v>110</v>
      </c>
      <c r="G100" s="281">
        <v>0.088</v>
      </c>
      <c r="H100" s="279">
        <f>E92</f>
        <v>6450000</v>
      </c>
      <c r="I100" s="107"/>
      <c r="J100" s="107"/>
      <c r="K100" s="279">
        <v>5160</v>
      </c>
    </row>
    <row r="101" ht="17.25" customHeight="1" spans="1:11">
      <c r="A101" s="278"/>
      <c r="B101" s="131"/>
      <c r="C101" s="128" t="s">
        <v>765</v>
      </c>
      <c r="D101" s="131"/>
      <c r="E101" s="279"/>
      <c r="F101" s="280">
        <v>110</v>
      </c>
      <c r="G101" s="281">
        <v>0.04</v>
      </c>
      <c r="H101" s="279">
        <f>E92</f>
        <v>6450000</v>
      </c>
      <c r="I101" s="107"/>
      <c r="J101" s="107"/>
      <c r="K101" s="279">
        <v>2345.5</v>
      </c>
    </row>
    <row r="102" ht="17.25" customHeight="1" spans="1:11">
      <c r="A102" s="265">
        <v>9</v>
      </c>
      <c r="B102" s="266" t="s">
        <v>636</v>
      </c>
      <c r="C102" s="267" t="s">
        <v>637</v>
      </c>
      <c r="D102" s="266" t="s">
        <v>612</v>
      </c>
      <c r="E102" s="268">
        <v>16000000</v>
      </c>
      <c r="F102" s="269"/>
      <c r="G102" s="270"/>
      <c r="H102" s="271"/>
      <c r="I102" s="282"/>
      <c r="J102" s="282"/>
      <c r="K102" s="283">
        <v>361135</v>
      </c>
    </row>
    <row r="103" ht="18" customHeight="1" spans="1:11">
      <c r="A103" s="272"/>
      <c r="B103" s="273"/>
      <c r="C103" s="274" t="s">
        <v>756</v>
      </c>
      <c r="D103" s="273"/>
      <c r="E103" s="275"/>
      <c r="F103" s="276"/>
      <c r="G103" s="277"/>
      <c r="H103" s="275"/>
      <c r="I103" s="284"/>
      <c r="J103" s="284"/>
      <c r="K103" s="275">
        <v>88372.6</v>
      </c>
    </row>
    <row r="104" ht="17.25" customHeight="1" spans="1:11">
      <c r="A104" s="278"/>
      <c r="B104" s="131"/>
      <c r="C104" s="128" t="s">
        <v>766</v>
      </c>
      <c r="D104" s="131" t="s">
        <v>691</v>
      </c>
      <c r="E104" s="279"/>
      <c r="F104" s="280"/>
      <c r="G104" s="246">
        <v>48</v>
      </c>
      <c r="H104" s="279">
        <v>1720.65</v>
      </c>
      <c r="I104" s="285">
        <v>1.07</v>
      </c>
      <c r="J104" s="107"/>
      <c r="K104" s="279">
        <v>88372.6</v>
      </c>
    </row>
    <row r="105" ht="18" customHeight="1" spans="1:11">
      <c r="A105" s="272"/>
      <c r="B105" s="273"/>
      <c r="C105" s="274" t="s">
        <v>758</v>
      </c>
      <c r="D105" s="273"/>
      <c r="E105" s="275"/>
      <c r="F105" s="276"/>
      <c r="G105" s="277"/>
      <c r="H105" s="275"/>
      <c r="I105" s="284"/>
      <c r="J105" s="284"/>
      <c r="K105" s="275">
        <v>242718.3</v>
      </c>
    </row>
    <row r="106" ht="17.25" customHeight="1" spans="1:11">
      <c r="A106" s="278"/>
      <c r="B106" s="131"/>
      <c r="C106" s="128" t="s">
        <v>769</v>
      </c>
      <c r="D106" s="131"/>
      <c r="E106" s="279"/>
      <c r="F106" s="280"/>
      <c r="G106" s="246">
        <v>1</v>
      </c>
      <c r="H106" s="279"/>
      <c r="I106" s="107"/>
      <c r="J106" s="107"/>
      <c r="K106" s="279">
        <v>242718.3</v>
      </c>
    </row>
    <row r="107" ht="17.25" customHeight="1" spans="1:11">
      <c r="A107" s="278"/>
      <c r="B107" s="131"/>
      <c r="C107" s="128" t="s">
        <v>760</v>
      </c>
      <c r="D107" s="131"/>
      <c r="E107" s="279"/>
      <c r="F107" s="280"/>
      <c r="G107" s="246">
        <v>2.55</v>
      </c>
      <c r="H107" s="279">
        <f>D13</f>
        <v>2474775</v>
      </c>
      <c r="I107" s="107"/>
      <c r="J107" s="280">
        <v>26</v>
      </c>
      <c r="K107" s="279">
        <v>242718.3</v>
      </c>
    </row>
    <row r="108" ht="18" customHeight="1" spans="1:11">
      <c r="A108" s="272"/>
      <c r="B108" s="273"/>
      <c r="C108" s="274" t="s">
        <v>762</v>
      </c>
      <c r="D108" s="273"/>
      <c r="E108" s="275"/>
      <c r="F108" s="276"/>
      <c r="G108" s="277"/>
      <c r="H108" s="275"/>
      <c r="I108" s="284"/>
      <c r="J108" s="284"/>
      <c r="K108" s="275">
        <f>SUM(K109:K111)</f>
        <v>30044.4</v>
      </c>
    </row>
    <row r="109" ht="17.25" customHeight="1" spans="1:11">
      <c r="A109" s="278"/>
      <c r="B109" s="131"/>
      <c r="C109" s="128" t="s">
        <v>763</v>
      </c>
      <c r="D109" s="131"/>
      <c r="E109" s="279"/>
      <c r="F109" s="280">
        <v>180</v>
      </c>
      <c r="G109" s="281">
        <v>0.24</v>
      </c>
      <c r="H109" s="279">
        <f>E102</f>
        <v>16000000</v>
      </c>
      <c r="I109" s="286">
        <v>1</v>
      </c>
      <c r="J109" s="107"/>
      <c r="K109" s="279">
        <v>21333.3</v>
      </c>
    </row>
    <row r="110" ht="17.25" customHeight="1" spans="1:11">
      <c r="A110" s="278"/>
      <c r="B110" s="131"/>
      <c r="C110" s="128" t="s">
        <v>764</v>
      </c>
      <c r="D110" s="131"/>
      <c r="E110" s="279"/>
      <c r="F110" s="280">
        <v>180</v>
      </c>
      <c r="G110" s="281">
        <v>0.048</v>
      </c>
      <c r="H110" s="279">
        <f>E102</f>
        <v>16000000</v>
      </c>
      <c r="I110" s="107"/>
      <c r="J110" s="107"/>
      <c r="K110" s="279">
        <v>4266.7</v>
      </c>
    </row>
    <row r="111" ht="17.25" customHeight="1" spans="1:11">
      <c r="A111" s="278"/>
      <c r="B111" s="131"/>
      <c r="C111" s="128" t="s">
        <v>765</v>
      </c>
      <c r="D111" s="131"/>
      <c r="E111" s="279"/>
      <c r="F111" s="280">
        <v>180</v>
      </c>
      <c r="G111" s="281">
        <v>0.05</v>
      </c>
      <c r="H111" s="279">
        <f>E102</f>
        <v>16000000</v>
      </c>
      <c r="I111" s="107"/>
      <c r="J111" s="107"/>
      <c r="K111" s="279">
        <v>4444.4</v>
      </c>
    </row>
    <row r="112" ht="17.25" customHeight="1" spans="1:11">
      <c r="A112" s="265">
        <v>10</v>
      </c>
      <c r="B112" s="266" t="s">
        <v>639</v>
      </c>
      <c r="C112" s="267" t="s">
        <v>640</v>
      </c>
      <c r="D112" s="266" t="s">
        <v>619</v>
      </c>
      <c r="E112" s="268">
        <v>3500000</v>
      </c>
      <c r="F112" s="269"/>
      <c r="G112" s="270"/>
      <c r="H112" s="271"/>
      <c r="I112" s="282"/>
      <c r="J112" s="282"/>
      <c r="K112" s="283">
        <v>213286</v>
      </c>
    </row>
    <row r="113" ht="18" customHeight="1" spans="1:11">
      <c r="A113" s="272"/>
      <c r="B113" s="273"/>
      <c r="C113" s="274" t="s">
        <v>756</v>
      </c>
      <c r="D113" s="273"/>
      <c r="E113" s="275"/>
      <c r="F113" s="276"/>
      <c r="G113" s="277"/>
      <c r="H113" s="275"/>
      <c r="I113" s="284"/>
      <c r="J113" s="284"/>
      <c r="K113" s="275">
        <v>3682.2</v>
      </c>
    </row>
    <row r="114" ht="17.25" customHeight="1" spans="1:11">
      <c r="A114" s="278"/>
      <c r="B114" s="131"/>
      <c r="C114" s="128" t="s">
        <v>766</v>
      </c>
      <c r="D114" s="131" t="s">
        <v>691</v>
      </c>
      <c r="E114" s="279"/>
      <c r="F114" s="280"/>
      <c r="G114" s="246">
        <v>2</v>
      </c>
      <c r="H114" s="279">
        <v>1720.65</v>
      </c>
      <c r="I114" s="285">
        <v>1.07</v>
      </c>
      <c r="J114" s="107"/>
      <c r="K114" s="279">
        <v>3682.2</v>
      </c>
    </row>
    <row r="115" ht="18" customHeight="1" spans="1:11">
      <c r="A115" s="272"/>
      <c r="B115" s="273"/>
      <c r="C115" s="274" t="s">
        <v>758</v>
      </c>
      <c r="D115" s="273"/>
      <c r="E115" s="275"/>
      <c r="F115" s="276"/>
      <c r="G115" s="277"/>
      <c r="H115" s="275"/>
      <c r="I115" s="284"/>
      <c r="J115" s="284"/>
      <c r="K115" s="275">
        <v>205596.7</v>
      </c>
    </row>
    <row r="116" ht="17.25" customHeight="1" spans="1:11">
      <c r="A116" s="278"/>
      <c r="B116" s="131"/>
      <c r="C116" s="128" t="s">
        <v>759</v>
      </c>
      <c r="D116" s="131"/>
      <c r="E116" s="279"/>
      <c r="F116" s="280"/>
      <c r="G116" s="246">
        <v>1</v>
      </c>
      <c r="H116" s="279"/>
      <c r="I116" s="107"/>
      <c r="J116" s="107"/>
      <c r="K116" s="279">
        <v>205596.7</v>
      </c>
    </row>
    <row r="117" ht="17.25" customHeight="1" spans="1:11">
      <c r="A117" s="278"/>
      <c r="B117" s="131"/>
      <c r="C117" s="128" t="s">
        <v>760</v>
      </c>
      <c r="D117" s="131"/>
      <c r="E117" s="279"/>
      <c r="F117" s="280"/>
      <c r="G117" s="246">
        <v>2.16</v>
      </c>
      <c r="H117" s="279">
        <f>D13</f>
        <v>2474775</v>
      </c>
      <c r="I117" s="107"/>
      <c r="J117" s="280">
        <v>26</v>
      </c>
      <c r="K117" s="279">
        <v>205596.7</v>
      </c>
    </row>
    <row r="118" ht="18" customHeight="1" spans="1:11">
      <c r="A118" s="272"/>
      <c r="B118" s="273"/>
      <c r="C118" s="274" t="s">
        <v>762</v>
      </c>
      <c r="D118" s="273"/>
      <c r="E118" s="275"/>
      <c r="F118" s="276"/>
      <c r="G118" s="277"/>
      <c r="H118" s="275"/>
      <c r="I118" s="284"/>
      <c r="J118" s="284"/>
      <c r="K118" s="275">
        <f>SUM(K119:K121)</f>
        <v>4007.5</v>
      </c>
    </row>
    <row r="119" ht="17.25" customHeight="1" spans="1:11">
      <c r="A119" s="278"/>
      <c r="B119" s="131"/>
      <c r="C119" s="128" t="s">
        <v>763</v>
      </c>
      <c r="D119" s="131"/>
      <c r="E119" s="279"/>
      <c r="F119" s="280">
        <v>200</v>
      </c>
      <c r="G119" s="281">
        <v>0.14</v>
      </c>
      <c r="H119" s="279">
        <f>E112</f>
        <v>3500000</v>
      </c>
      <c r="I119" s="286">
        <v>1</v>
      </c>
      <c r="J119" s="107"/>
      <c r="K119" s="279">
        <v>2450</v>
      </c>
    </row>
    <row r="120" ht="17.25" customHeight="1" spans="1:11">
      <c r="A120" s="278"/>
      <c r="B120" s="131"/>
      <c r="C120" s="128" t="s">
        <v>764</v>
      </c>
      <c r="D120" s="131"/>
      <c r="E120" s="279"/>
      <c r="F120" s="280">
        <v>200</v>
      </c>
      <c r="G120" s="281">
        <v>0.049</v>
      </c>
      <c r="H120" s="279">
        <f>E112</f>
        <v>3500000</v>
      </c>
      <c r="I120" s="107"/>
      <c r="J120" s="107"/>
      <c r="K120" s="279">
        <v>857.5</v>
      </c>
    </row>
    <row r="121" ht="17.25" customHeight="1" spans="1:11">
      <c r="A121" s="278"/>
      <c r="B121" s="131"/>
      <c r="C121" s="128" t="s">
        <v>765</v>
      </c>
      <c r="D121" s="131"/>
      <c r="E121" s="279"/>
      <c r="F121" s="280">
        <v>200</v>
      </c>
      <c r="G121" s="281">
        <v>0.04</v>
      </c>
      <c r="H121" s="279">
        <f>E112</f>
        <v>3500000</v>
      </c>
      <c r="I121" s="107"/>
      <c r="J121" s="107"/>
      <c r="K121" s="279">
        <v>700</v>
      </c>
    </row>
    <row r="122" ht="17.25" customHeight="1" spans="1:11">
      <c r="A122" s="265">
        <v>11</v>
      </c>
      <c r="B122" s="266" t="s">
        <v>642</v>
      </c>
      <c r="C122" s="267" t="s">
        <v>643</v>
      </c>
      <c r="D122" s="266" t="s">
        <v>612</v>
      </c>
      <c r="E122" s="268">
        <v>26350000</v>
      </c>
      <c r="F122" s="269"/>
      <c r="G122" s="270"/>
      <c r="H122" s="271"/>
      <c r="I122" s="282"/>
      <c r="J122" s="282"/>
      <c r="K122" s="283">
        <v>301306</v>
      </c>
    </row>
    <row r="123" ht="18" customHeight="1" spans="1:11">
      <c r="A123" s="272"/>
      <c r="B123" s="273"/>
      <c r="C123" s="274" t="s">
        <v>756</v>
      </c>
      <c r="D123" s="273"/>
      <c r="E123" s="275"/>
      <c r="F123" s="276"/>
      <c r="G123" s="277"/>
      <c r="H123" s="275"/>
      <c r="I123" s="284"/>
      <c r="J123" s="284"/>
      <c r="K123" s="275">
        <v>20252.1</v>
      </c>
    </row>
    <row r="124" ht="17.25" customHeight="1" spans="1:11">
      <c r="A124" s="278"/>
      <c r="B124" s="131"/>
      <c r="C124" s="128" t="s">
        <v>766</v>
      </c>
      <c r="D124" s="131" t="s">
        <v>691</v>
      </c>
      <c r="E124" s="279"/>
      <c r="F124" s="280"/>
      <c r="G124" s="246">
        <v>11</v>
      </c>
      <c r="H124" s="279">
        <v>1720.65</v>
      </c>
      <c r="I124" s="285">
        <v>1.07</v>
      </c>
      <c r="J124" s="107"/>
      <c r="K124" s="279">
        <v>20252.1</v>
      </c>
    </row>
    <row r="125" ht="18" customHeight="1" spans="1:11">
      <c r="A125" s="272"/>
      <c r="B125" s="273"/>
      <c r="C125" s="274" t="s">
        <v>758</v>
      </c>
      <c r="D125" s="273"/>
      <c r="E125" s="275"/>
      <c r="F125" s="276"/>
      <c r="G125" s="277"/>
      <c r="H125" s="275"/>
      <c r="I125" s="284"/>
      <c r="J125" s="284"/>
      <c r="K125" s="275">
        <v>205596.7</v>
      </c>
    </row>
    <row r="126" ht="17.25" customHeight="1" spans="1:11">
      <c r="A126" s="278"/>
      <c r="B126" s="131"/>
      <c r="C126" s="128" t="s">
        <v>759</v>
      </c>
      <c r="D126" s="131"/>
      <c r="E126" s="279"/>
      <c r="F126" s="280"/>
      <c r="G126" s="246">
        <v>1</v>
      </c>
      <c r="H126" s="279"/>
      <c r="I126" s="107"/>
      <c r="J126" s="107"/>
      <c r="K126" s="279">
        <v>205596.7</v>
      </c>
    </row>
    <row r="127" ht="17.25" customHeight="1" spans="1:11">
      <c r="A127" s="278"/>
      <c r="B127" s="131"/>
      <c r="C127" s="128" t="s">
        <v>760</v>
      </c>
      <c r="D127" s="131"/>
      <c r="E127" s="279"/>
      <c r="F127" s="280"/>
      <c r="G127" s="246">
        <v>2.16</v>
      </c>
      <c r="H127" s="279">
        <f>D13</f>
        <v>2474775</v>
      </c>
      <c r="I127" s="107"/>
      <c r="J127" s="280">
        <v>26</v>
      </c>
      <c r="K127" s="279">
        <v>205596.7</v>
      </c>
    </row>
    <row r="128" ht="18" customHeight="1" spans="1:11">
      <c r="A128" s="272"/>
      <c r="B128" s="273"/>
      <c r="C128" s="274" t="s">
        <v>762</v>
      </c>
      <c r="D128" s="273"/>
      <c r="E128" s="275"/>
      <c r="F128" s="276"/>
      <c r="G128" s="277"/>
      <c r="H128" s="275"/>
      <c r="I128" s="284"/>
      <c r="J128" s="284"/>
      <c r="K128" s="275">
        <f>SUM(K129:K131)</f>
        <v>75456.9</v>
      </c>
    </row>
    <row r="129" ht="17.25" customHeight="1" spans="1:11">
      <c r="A129" s="278"/>
      <c r="B129" s="131"/>
      <c r="C129" s="128" t="s">
        <v>763</v>
      </c>
      <c r="D129" s="131"/>
      <c r="E129" s="279"/>
      <c r="F129" s="280">
        <v>110</v>
      </c>
      <c r="G129" s="281">
        <v>0.2</v>
      </c>
      <c r="H129" s="279">
        <f>E122</f>
        <v>26350000</v>
      </c>
      <c r="I129" s="286">
        <v>1</v>
      </c>
      <c r="J129" s="107"/>
      <c r="K129" s="279">
        <v>47909.1</v>
      </c>
    </row>
    <row r="130" ht="17.25" customHeight="1" spans="1:11">
      <c r="A130" s="278"/>
      <c r="B130" s="131"/>
      <c r="C130" s="128" t="s">
        <v>764</v>
      </c>
      <c r="D130" s="131"/>
      <c r="E130" s="279"/>
      <c r="F130" s="280">
        <v>110</v>
      </c>
      <c r="G130" s="281">
        <v>0.065</v>
      </c>
      <c r="H130" s="279">
        <f>E122</f>
        <v>26350000</v>
      </c>
      <c r="I130" s="107"/>
      <c r="J130" s="107"/>
      <c r="K130" s="279">
        <v>15570.5</v>
      </c>
    </row>
    <row r="131" ht="17.25" customHeight="1" spans="1:11">
      <c r="A131" s="278"/>
      <c r="B131" s="131"/>
      <c r="C131" s="128" t="s">
        <v>765</v>
      </c>
      <c r="D131" s="131"/>
      <c r="E131" s="279"/>
      <c r="F131" s="280">
        <v>110</v>
      </c>
      <c r="G131" s="281">
        <v>0.05</v>
      </c>
      <c r="H131" s="279">
        <f>E122</f>
        <v>26350000</v>
      </c>
      <c r="I131" s="107"/>
      <c r="J131" s="107"/>
      <c r="K131" s="279">
        <v>11977.3</v>
      </c>
    </row>
    <row r="132" ht="17.25" customHeight="1" spans="1:11">
      <c r="A132" s="265">
        <v>12</v>
      </c>
      <c r="B132" s="266" t="s">
        <v>645</v>
      </c>
      <c r="C132" s="267" t="s">
        <v>646</v>
      </c>
      <c r="D132" s="266" t="s">
        <v>612</v>
      </c>
      <c r="E132" s="268">
        <v>163700000</v>
      </c>
      <c r="F132" s="269"/>
      <c r="G132" s="270"/>
      <c r="H132" s="271"/>
      <c r="I132" s="282"/>
      <c r="J132" s="282"/>
      <c r="K132" s="283">
        <v>393344</v>
      </c>
    </row>
    <row r="133" ht="18" customHeight="1" spans="1:11">
      <c r="A133" s="272"/>
      <c r="B133" s="273"/>
      <c r="C133" s="274" t="s">
        <v>756</v>
      </c>
      <c r="D133" s="273"/>
      <c r="E133" s="275"/>
      <c r="F133" s="276"/>
      <c r="G133" s="277"/>
      <c r="H133" s="275"/>
      <c r="I133" s="284"/>
      <c r="J133" s="284"/>
      <c r="K133" s="275">
        <v>38663</v>
      </c>
    </row>
    <row r="134" ht="17.25" customHeight="1" spans="1:11">
      <c r="A134" s="278"/>
      <c r="B134" s="131"/>
      <c r="C134" s="128" t="s">
        <v>766</v>
      </c>
      <c r="D134" s="131" t="s">
        <v>691</v>
      </c>
      <c r="E134" s="279"/>
      <c r="F134" s="280"/>
      <c r="G134" s="246">
        <v>21</v>
      </c>
      <c r="H134" s="279">
        <v>1720.65</v>
      </c>
      <c r="I134" s="285">
        <v>1.07</v>
      </c>
      <c r="J134" s="107"/>
      <c r="K134" s="279">
        <v>38663</v>
      </c>
    </row>
    <row r="135" ht="18" customHeight="1" spans="1:11">
      <c r="A135" s="272"/>
      <c r="B135" s="273"/>
      <c r="C135" s="274" t="s">
        <v>758</v>
      </c>
      <c r="D135" s="273"/>
      <c r="E135" s="275"/>
      <c r="F135" s="276"/>
      <c r="G135" s="277"/>
      <c r="H135" s="275"/>
      <c r="I135" s="284"/>
      <c r="J135" s="284"/>
      <c r="K135" s="275">
        <v>205596.7</v>
      </c>
    </row>
    <row r="136" ht="17.25" customHeight="1" spans="1:11">
      <c r="A136" s="278"/>
      <c r="B136" s="131"/>
      <c r="C136" s="128" t="s">
        <v>759</v>
      </c>
      <c r="D136" s="131"/>
      <c r="E136" s="279"/>
      <c r="F136" s="280"/>
      <c r="G136" s="246">
        <v>1</v>
      </c>
      <c r="H136" s="279"/>
      <c r="I136" s="107"/>
      <c r="J136" s="107"/>
      <c r="K136" s="279">
        <v>205596.7</v>
      </c>
    </row>
    <row r="137" ht="17.25" customHeight="1" spans="1:11">
      <c r="A137" s="278"/>
      <c r="B137" s="131"/>
      <c r="C137" s="128" t="s">
        <v>760</v>
      </c>
      <c r="D137" s="131"/>
      <c r="E137" s="279"/>
      <c r="F137" s="280"/>
      <c r="G137" s="246">
        <v>2.16</v>
      </c>
      <c r="H137" s="279">
        <f>D13</f>
        <v>2474775</v>
      </c>
      <c r="I137" s="107"/>
      <c r="J137" s="280">
        <v>26</v>
      </c>
      <c r="K137" s="279">
        <v>205596.7</v>
      </c>
    </row>
    <row r="138" ht="18" customHeight="1" spans="1:11">
      <c r="A138" s="272"/>
      <c r="B138" s="273"/>
      <c r="C138" s="274" t="s">
        <v>762</v>
      </c>
      <c r="D138" s="273"/>
      <c r="E138" s="275"/>
      <c r="F138" s="276"/>
      <c r="G138" s="277"/>
      <c r="H138" s="275"/>
      <c r="I138" s="284"/>
      <c r="J138" s="284"/>
      <c r="K138" s="275">
        <f>SUM(K139:K141)</f>
        <v>149083.8</v>
      </c>
    </row>
    <row r="139" ht="17.25" customHeight="1" spans="1:11">
      <c r="A139" s="278"/>
      <c r="B139" s="131"/>
      <c r="C139" s="128" t="s">
        <v>763</v>
      </c>
      <c r="D139" s="131"/>
      <c r="E139" s="279"/>
      <c r="F139" s="280">
        <v>280</v>
      </c>
      <c r="G139" s="281">
        <v>0.18</v>
      </c>
      <c r="H139" s="279">
        <f>E132</f>
        <v>163700000</v>
      </c>
      <c r="I139" s="286">
        <v>0.9</v>
      </c>
      <c r="J139" s="107"/>
      <c r="K139" s="279">
        <v>94712.1</v>
      </c>
    </row>
    <row r="140" ht="17.25" customHeight="1" spans="1:11">
      <c r="A140" s="278"/>
      <c r="B140" s="131"/>
      <c r="C140" s="128" t="s">
        <v>764</v>
      </c>
      <c r="D140" s="131"/>
      <c r="E140" s="279"/>
      <c r="F140" s="280">
        <v>280</v>
      </c>
      <c r="G140" s="281">
        <v>0.043</v>
      </c>
      <c r="H140" s="279">
        <f>E132</f>
        <v>163700000</v>
      </c>
      <c r="I140" s="107"/>
      <c r="J140" s="107"/>
      <c r="K140" s="279">
        <v>25139.6</v>
      </c>
    </row>
    <row r="141" ht="17.25" customHeight="1" spans="1:11">
      <c r="A141" s="278"/>
      <c r="B141" s="131"/>
      <c r="C141" s="128" t="s">
        <v>765</v>
      </c>
      <c r="D141" s="131"/>
      <c r="E141" s="279"/>
      <c r="F141" s="280">
        <v>280</v>
      </c>
      <c r="G141" s="281">
        <v>0.05</v>
      </c>
      <c r="H141" s="279">
        <f>E132</f>
        <v>163700000</v>
      </c>
      <c r="I141" s="107"/>
      <c r="J141" s="107"/>
      <c r="K141" s="279">
        <v>29232.1</v>
      </c>
    </row>
    <row r="142" ht="17.25" customHeight="1" spans="1:11">
      <c r="A142" s="265">
        <v>13</v>
      </c>
      <c r="B142" s="266" t="s">
        <v>648</v>
      </c>
      <c r="C142" s="267" t="s">
        <v>649</v>
      </c>
      <c r="D142" s="266" t="s">
        <v>612</v>
      </c>
      <c r="E142" s="268">
        <v>1898600000</v>
      </c>
      <c r="F142" s="269"/>
      <c r="G142" s="270"/>
      <c r="H142" s="271"/>
      <c r="I142" s="282"/>
      <c r="J142" s="282"/>
      <c r="K142" s="283">
        <v>3878019</v>
      </c>
    </row>
    <row r="143" ht="18" customHeight="1" spans="1:11">
      <c r="A143" s="272"/>
      <c r="B143" s="273"/>
      <c r="C143" s="274" t="s">
        <v>756</v>
      </c>
      <c r="D143" s="273"/>
      <c r="E143" s="275"/>
      <c r="F143" s="276"/>
      <c r="G143" s="277"/>
      <c r="H143" s="275"/>
      <c r="I143" s="284"/>
      <c r="J143" s="284"/>
      <c r="K143" s="275">
        <v>998836.4</v>
      </c>
    </row>
    <row r="144" ht="17.25" customHeight="1" spans="1:11">
      <c r="A144" s="278"/>
      <c r="B144" s="131"/>
      <c r="C144" s="128" t="s">
        <v>757</v>
      </c>
      <c r="D144" s="131" t="s">
        <v>687</v>
      </c>
      <c r="E144" s="279"/>
      <c r="F144" s="280"/>
      <c r="G144" s="246">
        <v>64</v>
      </c>
      <c r="H144" s="279">
        <v>14863.6363636364</v>
      </c>
      <c r="I144" s="285">
        <v>1.05</v>
      </c>
      <c r="J144" s="107"/>
      <c r="K144" s="279">
        <v>998836.4</v>
      </c>
    </row>
    <row r="145" ht="18" customHeight="1" spans="1:11">
      <c r="A145" s="272"/>
      <c r="B145" s="273"/>
      <c r="C145" s="274" t="s">
        <v>758</v>
      </c>
      <c r="D145" s="273"/>
      <c r="E145" s="275"/>
      <c r="F145" s="276"/>
      <c r="G145" s="277"/>
      <c r="H145" s="275"/>
      <c r="I145" s="284"/>
      <c r="J145" s="284"/>
      <c r="K145" s="275">
        <v>566342.8</v>
      </c>
    </row>
    <row r="146" ht="30" customHeight="1" spans="1:11">
      <c r="A146" s="278"/>
      <c r="B146" s="131"/>
      <c r="C146" s="128" t="s">
        <v>770</v>
      </c>
      <c r="D146" s="131"/>
      <c r="E146" s="279"/>
      <c r="F146" s="280"/>
      <c r="G146" s="246">
        <v>1</v>
      </c>
      <c r="H146" s="279"/>
      <c r="I146" s="107"/>
      <c r="J146" s="107"/>
      <c r="K146" s="279">
        <v>238911</v>
      </c>
    </row>
    <row r="147" ht="17.25" customHeight="1" spans="1:11">
      <c r="A147" s="278"/>
      <c r="B147" s="131"/>
      <c r="C147" s="128" t="s">
        <v>760</v>
      </c>
      <c r="D147" s="131"/>
      <c r="E147" s="279"/>
      <c r="F147" s="280"/>
      <c r="G147" s="246">
        <v>2.51</v>
      </c>
      <c r="H147" s="279">
        <f>D13</f>
        <v>2474775</v>
      </c>
      <c r="I147" s="107"/>
      <c r="J147" s="280">
        <v>26</v>
      </c>
      <c r="K147" s="279">
        <v>238911</v>
      </c>
    </row>
    <row r="148" ht="30" customHeight="1" spans="1:11">
      <c r="A148" s="278"/>
      <c r="B148" s="131"/>
      <c r="C148" s="128" t="s">
        <v>771</v>
      </c>
      <c r="D148" s="131"/>
      <c r="E148" s="279"/>
      <c r="F148" s="280"/>
      <c r="G148" s="246">
        <v>1</v>
      </c>
      <c r="H148" s="279"/>
      <c r="I148" s="107"/>
      <c r="J148" s="107"/>
      <c r="K148" s="279">
        <v>327431.8</v>
      </c>
    </row>
    <row r="149" ht="17.25" customHeight="1" spans="1:11">
      <c r="A149" s="278"/>
      <c r="B149" s="131"/>
      <c r="C149" s="128" t="s">
        <v>760</v>
      </c>
      <c r="D149" s="131"/>
      <c r="E149" s="279"/>
      <c r="F149" s="280"/>
      <c r="G149" s="246">
        <v>3.44</v>
      </c>
      <c r="H149" s="279">
        <f>D13</f>
        <v>2474775</v>
      </c>
      <c r="I149" s="107"/>
      <c r="J149" s="280">
        <v>26</v>
      </c>
      <c r="K149" s="279">
        <v>327431.8</v>
      </c>
    </row>
    <row r="150" ht="18" customHeight="1" spans="1:11">
      <c r="A150" s="272"/>
      <c r="B150" s="273"/>
      <c r="C150" s="274" t="s">
        <v>762</v>
      </c>
      <c r="D150" s="273"/>
      <c r="E150" s="275"/>
      <c r="F150" s="276"/>
      <c r="G150" s="277"/>
      <c r="H150" s="275"/>
      <c r="I150" s="284"/>
      <c r="J150" s="284"/>
      <c r="K150" s="275">
        <f>SUM(K151:K153)</f>
        <v>2312840</v>
      </c>
    </row>
    <row r="151" ht="17.25" customHeight="1" spans="1:11">
      <c r="A151" s="278"/>
      <c r="B151" s="131"/>
      <c r="C151" s="128" t="s">
        <v>763</v>
      </c>
      <c r="D151" s="131"/>
      <c r="E151" s="279"/>
      <c r="F151" s="280">
        <v>220</v>
      </c>
      <c r="G151" s="281">
        <v>0.17</v>
      </c>
      <c r="H151" s="279">
        <f>E142</f>
        <v>1898600000</v>
      </c>
      <c r="I151" s="286">
        <v>0.9</v>
      </c>
      <c r="J151" s="107"/>
      <c r="K151" s="279">
        <v>1320390</v>
      </c>
    </row>
    <row r="152" ht="17.25" customHeight="1" spans="1:11">
      <c r="A152" s="278"/>
      <c r="B152" s="131"/>
      <c r="C152" s="128" t="s">
        <v>764</v>
      </c>
      <c r="D152" s="131"/>
      <c r="E152" s="279"/>
      <c r="F152" s="280">
        <v>220</v>
      </c>
      <c r="G152" s="281">
        <v>0.055</v>
      </c>
      <c r="H152" s="279">
        <f>E142</f>
        <v>1898600000</v>
      </c>
      <c r="I152" s="107"/>
      <c r="J152" s="107"/>
      <c r="K152" s="279">
        <v>474650</v>
      </c>
    </row>
    <row r="153" ht="17.25" customHeight="1" spans="1:11">
      <c r="A153" s="278"/>
      <c r="B153" s="131"/>
      <c r="C153" s="128" t="s">
        <v>765</v>
      </c>
      <c r="D153" s="131"/>
      <c r="E153" s="279"/>
      <c r="F153" s="280">
        <v>220</v>
      </c>
      <c r="G153" s="281">
        <v>0.06</v>
      </c>
      <c r="H153" s="279">
        <f>E142</f>
        <v>1898600000</v>
      </c>
      <c r="I153" s="107"/>
      <c r="J153" s="107"/>
      <c r="K153" s="279">
        <v>517800</v>
      </c>
    </row>
    <row r="154" ht="17.25" customHeight="1" spans="1:11">
      <c r="A154" s="265">
        <v>14</v>
      </c>
      <c r="B154" s="266" t="s">
        <v>648</v>
      </c>
      <c r="C154" s="267" t="s">
        <v>649</v>
      </c>
      <c r="D154" s="266" t="s">
        <v>612</v>
      </c>
      <c r="E154" s="268">
        <v>1898600000</v>
      </c>
      <c r="F154" s="269"/>
      <c r="G154" s="270"/>
      <c r="H154" s="271"/>
      <c r="I154" s="282"/>
      <c r="J154" s="282"/>
      <c r="K154" s="283">
        <v>3878019</v>
      </c>
    </row>
    <row r="155" ht="18" customHeight="1" spans="1:11">
      <c r="A155" s="272"/>
      <c r="B155" s="273"/>
      <c r="C155" s="274" t="s">
        <v>756</v>
      </c>
      <c r="D155" s="273"/>
      <c r="E155" s="275"/>
      <c r="F155" s="276"/>
      <c r="G155" s="277"/>
      <c r="H155" s="275"/>
      <c r="I155" s="284"/>
      <c r="J155" s="284"/>
      <c r="K155" s="275">
        <v>998836.4</v>
      </c>
    </row>
    <row r="156" ht="17.25" customHeight="1" spans="1:11">
      <c r="A156" s="278"/>
      <c r="B156" s="131"/>
      <c r="C156" s="128" t="s">
        <v>757</v>
      </c>
      <c r="D156" s="131" t="s">
        <v>687</v>
      </c>
      <c r="E156" s="279"/>
      <c r="F156" s="280"/>
      <c r="G156" s="246">
        <v>64</v>
      </c>
      <c r="H156" s="279">
        <v>14863.6363636364</v>
      </c>
      <c r="I156" s="285">
        <v>1.05</v>
      </c>
      <c r="J156" s="107"/>
      <c r="K156" s="279">
        <v>998836.4</v>
      </c>
    </row>
    <row r="157" ht="18" customHeight="1" spans="1:11">
      <c r="A157" s="272"/>
      <c r="B157" s="273"/>
      <c r="C157" s="274" t="s">
        <v>758</v>
      </c>
      <c r="D157" s="273"/>
      <c r="E157" s="275"/>
      <c r="F157" s="276"/>
      <c r="G157" s="277"/>
      <c r="H157" s="275"/>
      <c r="I157" s="284"/>
      <c r="J157" s="284"/>
      <c r="K157" s="275">
        <v>566342.8</v>
      </c>
    </row>
    <row r="158" ht="30" customHeight="1" spans="1:11">
      <c r="A158" s="278"/>
      <c r="B158" s="131"/>
      <c r="C158" s="128" t="s">
        <v>770</v>
      </c>
      <c r="D158" s="131"/>
      <c r="E158" s="279"/>
      <c r="F158" s="280"/>
      <c r="G158" s="246">
        <v>1</v>
      </c>
      <c r="H158" s="279"/>
      <c r="I158" s="107"/>
      <c r="J158" s="107"/>
      <c r="K158" s="279">
        <v>238911</v>
      </c>
    </row>
    <row r="159" ht="17.25" customHeight="1" spans="1:11">
      <c r="A159" s="278"/>
      <c r="B159" s="131"/>
      <c r="C159" s="128" t="s">
        <v>760</v>
      </c>
      <c r="D159" s="131"/>
      <c r="E159" s="279"/>
      <c r="F159" s="280"/>
      <c r="G159" s="246">
        <v>2.51</v>
      </c>
      <c r="H159" s="279">
        <f>D13</f>
        <v>2474775</v>
      </c>
      <c r="I159" s="107"/>
      <c r="J159" s="280">
        <v>26</v>
      </c>
      <c r="K159" s="279">
        <v>238911</v>
      </c>
    </row>
    <row r="160" ht="30" customHeight="1" spans="1:11">
      <c r="A160" s="278"/>
      <c r="B160" s="131"/>
      <c r="C160" s="128" t="s">
        <v>771</v>
      </c>
      <c r="D160" s="131"/>
      <c r="E160" s="279"/>
      <c r="F160" s="280"/>
      <c r="G160" s="246">
        <v>1</v>
      </c>
      <c r="H160" s="279"/>
      <c r="I160" s="107"/>
      <c r="J160" s="107"/>
      <c r="K160" s="279">
        <v>327431.8</v>
      </c>
    </row>
    <row r="161" ht="17.25" customHeight="1" spans="1:11">
      <c r="A161" s="278"/>
      <c r="B161" s="131"/>
      <c r="C161" s="128" t="s">
        <v>760</v>
      </c>
      <c r="D161" s="131"/>
      <c r="E161" s="279"/>
      <c r="F161" s="280"/>
      <c r="G161" s="246">
        <v>3.44</v>
      </c>
      <c r="H161" s="279">
        <f>D13</f>
        <v>2474775</v>
      </c>
      <c r="I161" s="107"/>
      <c r="J161" s="280">
        <v>26</v>
      </c>
      <c r="K161" s="279">
        <v>327431.8</v>
      </c>
    </row>
    <row r="162" ht="18" customHeight="1" spans="1:11">
      <c r="A162" s="272"/>
      <c r="B162" s="273"/>
      <c r="C162" s="274" t="s">
        <v>762</v>
      </c>
      <c r="D162" s="273"/>
      <c r="E162" s="275"/>
      <c r="F162" s="276"/>
      <c r="G162" s="277"/>
      <c r="H162" s="275"/>
      <c r="I162" s="284"/>
      <c r="J162" s="284"/>
      <c r="K162" s="275">
        <f>SUM(K163:K165)</f>
        <v>2312840</v>
      </c>
    </row>
    <row r="163" ht="17.25" customHeight="1" spans="1:11">
      <c r="A163" s="278"/>
      <c r="B163" s="131"/>
      <c r="C163" s="128" t="s">
        <v>763</v>
      </c>
      <c r="D163" s="131"/>
      <c r="E163" s="279"/>
      <c r="F163" s="280">
        <v>220</v>
      </c>
      <c r="G163" s="281">
        <v>0.17</v>
      </c>
      <c r="H163" s="279">
        <f>E154</f>
        <v>1898600000</v>
      </c>
      <c r="I163" s="286">
        <v>0.9</v>
      </c>
      <c r="J163" s="107"/>
      <c r="K163" s="279">
        <v>1320390</v>
      </c>
    </row>
    <row r="164" ht="17.25" customHeight="1" spans="1:11">
      <c r="A164" s="278"/>
      <c r="B164" s="131"/>
      <c r="C164" s="128" t="s">
        <v>764</v>
      </c>
      <c r="D164" s="131"/>
      <c r="E164" s="279"/>
      <c r="F164" s="280">
        <v>220</v>
      </c>
      <c r="G164" s="281">
        <v>0.055</v>
      </c>
      <c r="H164" s="279">
        <f>E154</f>
        <v>1898600000</v>
      </c>
      <c r="I164" s="107"/>
      <c r="J164" s="107"/>
      <c r="K164" s="279">
        <v>474650</v>
      </c>
    </row>
    <row r="165" ht="17.25" customHeight="1" spans="1:11">
      <c r="A165" s="278"/>
      <c r="B165" s="131"/>
      <c r="C165" s="128" t="s">
        <v>765</v>
      </c>
      <c r="D165" s="131"/>
      <c r="E165" s="279"/>
      <c r="F165" s="280">
        <v>220</v>
      </c>
      <c r="G165" s="281">
        <v>0.06</v>
      </c>
      <c r="H165" s="279">
        <f>E154</f>
        <v>1898600000</v>
      </c>
      <c r="I165" s="107"/>
      <c r="J165" s="107"/>
      <c r="K165" s="279">
        <v>517800</v>
      </c>
    </row>
    <row r="166" ht="17.25" customHeight="1" spans="1:11">
      <c r="A166" s="265">
        <v>15</v>
      </c>
      <c r="B166" s="266" t="s">
        <v>651</v>
      </c>
      <c r="C166" s="267" t="s">
        <v>652</v>
      </c>
      <c r="D166" s="266" t="s">
        <v>612</v>
      </c>
      <c r="E166" s="268">
        <v>614100000</v>
      </c>
      <c r="F166" s="269"/>
      <c r="G166" s="270"/>
      <c r="H166" s="271"/>
      <c r="I166" s="282"/>
      <c r="J166" s="282"/>
      <c r="K166" s="283">
        <v>1844939</v>
      </c>
    </row>
    <row r="167" ht="18" customHeight="1" spans="1:11">
      <c r="A167" s="272"/>
      <c r="B167" s="273"/>
      <c r="C167" s="274" t="s">
        <v>756</v>
      </c>
      <c r="D167" s="273"/>
      <c r="E167" s="275"/>
      <c r="F167" s="276"/>
      <c r="G167" s="277"/>
      <c r="H167" s="275"/>
      <c r="I167" s="284"/>
      <c r="J167" s="284"/>
      <c r="K167" s="275">
        <v>889588.6</v>
      </c>
    </row>
    <row r="168" ht="17.25" customHeight="1" spans="1:11">
      <c r="A168" s="278"/>
      <c r="B168" s="131"/>
      <c r="C168" s="128" t="s">
        <v>757</v>
      </c>
      <c r="D168" s="131" t="s">
        <v>687</v>
      </c>
      <c r="E168" s="279"/>
      <c r="F168" s="280"/>
      <c r="G168" s="246">
        <v>57</v>
      </c>
      <c r="H168" s="279">
        <v>14863.6363636364</v>
      </c>
      <c r="I168" s="285">
        <v>1.05</v>
      </c>
      <c r="J168" s="107"/>
      <c r="K168" s="279">
        <v>889588.6</v>
      </c>
    </row>
    <row r="169" ht="18" customHeight="1" spans="1:11">
      <c r="A169" s="272"/>
      <c r="B169" s="273"/>
      <c r="C169" s="274" t="s">
        <v>758</v>
      </c>
      <c r="D169" s="273"/>
      <c r="E169" s="275"/>
      <c r="F169" s="276"/>
      <c r="G169" s="277"/>
      <c r="H169" s="275"/>
      <c r="I169" s="284"/>
      <c r="J169" s="284"/>
      <c r="K169" s="275">
        <v>279839.9</v>
      </c>
    </row>
    <row r="170" ht="30" customHeight="1" spans="1:11">
      <c r="A170" s="278"/>
      <c r="B170" s="131"/>
      <c r="C170" s="128" t="s">
        <v>772</v>
      </c>
      <c r="D170" s="131"/>
      <c r="E170" s="279"/>
      <c r="F170" s="280"/>
      <c r="G170" s="246">
        <v>1</v>
      </c>
      <c r="H170" s="279"/>
      <c r="I170" s="107"/>
      <c r="J170" s="107"/>
      <c r="K170" s="279">
        <v>279839.9</v>
      </c>
    </row>
    <row r="171" ht="17.25" customHeight="1" spans="1:11">
      <c r="A171" s="278"/>
      <c r="B171" s="131"/>
      <c r="C171" s="128" t="s">
        <v>760</v>
      </c>
      <c r="D171" s="131"/>
      <c r="E171" s="279"/>
      <c r="F171" s="280"/>
      <c r="G171" s="246">
        <v>2.94</v>
      </c>
      <c r="H171" s="279">
        <f>D13</f>
        <v>2474775</v>
      </c>
      <c r="I171" s="107"/>
      <c r="J171" s="280">
        <v>26</v>
      </c>
      <c r="K171" s="279">
        <v>279839.9</v>
      </c>
    </row>
    <row r="172" ht="18" customHeight="1" spans="1:11">
      <c r="A172" s="272"/>
      <c r="B172" s="273"/>
      <c r="C172" s="274" t="s">
        <v>762</v>
      </c>
      <c r="D172" s="273"/>
      <c r="E172" s="275"/>
      <c r="F172" s="276"/>
      <c r="G172" s="277"/>
      <c r="H172" s="275"/>
      <c r="I172" s="284"/>
      <c r="J172" s="284"/>
      <c r="K172" s="275">
        <f>SUM(K173:K175)</f>
        <v>675510</v>
      </c>
    </row>
    <row r="173" ht="17.25" customHeight="1" spans="1:11">
      <c r="A173" s="278"/>
      <c r="B173" s="131"/>
      <c r="C173" s="128" t="s">
        <v>763</v>
      </c>
      <c r="D173" s="131"/>
      <c r="E173" s="279"/>
      <c r="F173" s="280">
        <v>260</v>
      </c>
      <c r="G173" s="281">
        <v>0.17</v>
      </c>
      <c r="H173" s="279">
        <f>E166</f>
        <v>614100000</v>
      </c>
      <c r="I173" s="286">
        <v>0.9</v>
      </c>
      <c r="J173" s="107"/>
      <c r="K173" s="279">
        <v>361374.2</v>
      </c>
    </row>
    <row r="174" ht="17.25" customHeight="1" spans="1:11">
      <c r="A174" s="278"/>
      <c r="B174" s="131"/>
      <c r="C174" s="128" t="s">
        <v>764</v>
      </c>
      <c r="D174" s="131"/>
      <c r="E174" s="279"/>
      <c r="F174" s="280">
        <v>260</v>
      </c>
      <c r="G174" s="281">
        <v>0.073</v>
      </c>
      <c r="H174" s="279">
        <f>E166</f>
        <v>614100000</v>
      </c>
      <c r="I174" s="107"/>
      <c r="J174" s="107"/>
      <c r="K174" s="279">
        <v>172420.4</v>
      </c>
    </row>
    <row r="175" ht="17.25" customHeight="1" spans="1:11">
      <c r="A175" s="278"/>
      <c r="B175" s="131"/>
      <c r="C175" s="128" t="s">
        <v>765</v>
      </c>
      <c r="D175" s="131"/>
      <c r="E175" s="279"/>
      <c r="F175" s="280">
        <v>260</v>
      </c>
      <c r="G175" s="281">
        <v>0.06</v>
      </c>
      <c r="H175" s="279">
        <f>E166</f>
        <v>614100000</v>
      </c>
      <c r="I175" s="107"/>
      <c r="J175" s="107"/>
      <c r="K175" s="279">
        <v>141715.4</v>
      </c>
    </row>
    <row r="176" ht="17.25" customHeight="1" spans="1:11">
      <c r="A176" s="265">
        <v>16</v>
      </c>
      <c r="B176" s="266" t="s">
        <v>651</v>
      </c>
      <c r="C176" s="267" t="s">
        <v>652</v>
      </c>
      <c r="D176" s="266" t="s">
        <v>612</v>
      </c>
      <c r="E176" s="268">
        <v>614100000</v>
      </c>
      <c r="F176" s="269"/>
      <c r="G176" s="270"/>
      <c r="H176" s="271"/>
      <c r="I176" s="282"/>
      <c r="J176" s="282"/>
      <c r="K176" s="283">
        <v>1844939</v>
      </c>
    </row>
    <row r="177" ht="18" customHeight="1" spans="1:11">
      <c r="A177" s="272"/>
      <c r="B177" s="273"/>
      <c r="C177" s="274" t="s">
        <v>756</v>
      </c>
      <c r="D177" s="273"/>
      <c r="E177" s="275"/>
      <c r="F177" s="276"/>
      <c r="G177" s="277"/>
      <c r="H177" s="275"/>
      <c r="I177" s="284"/>
      <c r="J177" s="284"/>
      <c r="K177" s="275">
        <v>889588.6</v>
      </c>
    </row>
    <row r="178" ht="17.25" customHeight="1" spans="1:11">
      <c r="A178" s="278"/>
      <c r="B178" s="131"/>
      <c r="C178" s="128" t="s">
        <v>757</v>
      </c>
      <c r="D178" s="131" t="s">
        <v>687</v>
      </c>
      <c r="E178" s="279"/>
      <c r="F178" s="280"/>
      <c r="G178" s="246">
        <v>57</v>
      </c>
      <c r="H178" s="279">
        <v>14863.6363636364</v>
      </c>
      <c r="I178" s="285">
        <v>1.05</v>
      </c>
      <c r="J178" s="107"/>
      <c r="K178" s="279">
        <v>889588.6</v>
      </c>
    </row>
    <row r="179" ht="18" customHeight="1" spans="1:11">
      <c r="A179" s="272"/>
      <c r="B179" s="273"/>
      <c r="C179" s="274" t="s">
        <v>758</v>
      </c>
      <c r="D179" s="273"/>
      <c r="E179" s="275"/>
      <c r="F179" s="276"/>
      <c r="G179" s="277"/>
      <c r="H179" s="275"/>
      <c r="I179" s="284"/>
      <c r="J179" s="284"/>
      <c r="K179" s="275">
        <v>279839.9</v>
      </c>
    </row>
    <row r="180" ht="30" customHeight="1" spans="1:11">
      <c r="A180" s="278"/>
      <c r="B180" s="131"/>
      <c r="C180" s="128" t="s">
        <v>772</v>
      </c>
      <c r="D180" s="131"/>
      <c r="E180" s="279"/>
      <c r="F180" s="280"/>
      <c r="G180" s="246">
        <v>1</v>
      </c>
      <c r="H180" s="279"/>
      <c r="I180" s="107"/>
      <c r="J180" s="107"/>
      <c r="K180" s="279">
        <v>279839.9</v>
      </c>
    </row>
    <row r="181" ht="17.25" customHeight="1" spans="1:11">
      <c r="A181" s="278"/>
      <c r="B181" s="131"/>
      <c r="C181" s="128" t="s">
        <v>760</v>
      </c>
      <c r="D181" s="131"/>
      <c r="E181" s="279"/>
      <c r="F181" s="280"/>
      <c r="G181" s="246">
        <v>2.94</v>
      </c>
      <c r="H181" s="279">
        <f>D13</f>
        <v>2474775</v>
      </c>
      <c r="I181" s="107"/>
      <c r="J181" s="280">
        <v>26</v>
      </c>
      <c r="K181" s="279">
        <v>279839.9</v>
      </c>
    </row>
    <row r="182" ht="18" customHeight="1" spans="1:11">
      <c r="A182" s="272"/>
      <c r="B182" s="273"/>
      <c r="C182" s="274" t="s">
        <v>762</v>
      </c>
      <c r="D182" s="273"/>
      <c r="E182" s="275"/>
      <c r="F182" s="276"/>
      <c r="G182" s="277"/>
      <c r="H182" s="275"/>
      <c r="I182" s="284"/>
      <c r="J182" s="284"/>
      <c r="K182" s="275">
        <f>SUM(K183:K185)</f>
        <v>675510</v>
      </c>
    </row>
    <row r="183" ht="17.25" customHeight="1" spans="1:11">
      <c r="A183" s="278"/>
      <c r="B183" s="131"/>
      <c r="C183" s="128" t="s">
        <v>763</v>
      </c>
      <c r="D183" s="131"/>
      <c r="E183" s="279"/>
      <c r="F183" s="280">
        <v>260</v>
      </c>
      <c r="G183" s="281">
        <v>0.17</v>
      </c>
      <c r="H183" s="279">
        <f>E176</f>
        <v>614100000</v>
      </c>
      <c r="I183" s="286">
        <v>0.9</v>
      </c>
      <c r="J183" s="107"/>
      <c r="K183" s="279">
        <v>361374.2</v>
      </c>
    </row>
    <row r="184" ht="17.25" customHeight="1" spans="1:11">
      <c r="A184" s="278"/>
      <c r="B184" s="131"/>
      <c r="C184" s="128" t="s">
        <v>764</v>
      </c>
      <c r="D184" s="131"/>
      <c r="E184" s="279"/>
      <c r="F184" s="280">
        <v>260</v>
      </c>
      <c r="G184" s="281">
        <v>0.073</v>
      </c>
      <c r="H184" s="279">
        <f>E176</f>
        <v>614100000</v>
      </c>
      <c r="I184" s="107"/>
      <c r="J184" s="107"/>
      <c r="K184" s="279">
        <v>172420.4</v>
      </c>
    </row>
    <row r="185" ht="17.25" customHeight="1" spans="1:11">
      <c r="A185" s="278"/>
      <c r="B185" s="131"/>
      <c r="C185" s="128" t="s">
        <v>765</v>
      </c>
      <c r="D185" s="131"/>
      <c r="E185" s="279"/>
      <c r="F185" s="280">
        <v>260</v>
      </c>
      <c r="G185" s="281">
        <v>0.06</v>
      </c>
      <c r="H185" s="279">
        <f>E176</f>
        <v>614100000</v>
      </c>
      <c r="I185" s="107"/>
      <c r="J185" s="107"/>
      <c r="K185" s="279">
        <v>141715.4</v>
      </c>
    </row>
    <row r="186" ht="17.25" customHeight="1" spans="1:11">
      <c r="A186" s="265">
        <v>17</v>
      </c>
      <c r="B186" s="266" t="s">
        <v>654</v>
      </c>
      <c r="C186" s="267" t="s">
        <v>655</v>
      </c>
      <c r="D186" s="266" t="s">
        <v>612</v>
      </c>
      <c r="E186" s="268">
        <v>163700000</v>
      </c>
      <c r="F186" s="269"/>
      <c r="G186" s="270"/>
      <c r="H186" s="271"/>
      <c r="I186" s="282"/>
      <c r="J186" s="282"/>
      <c r="K186" s="283">
        <v>393344</v>
      </c>
    </row>
    <row r="187" ht="18" customHeight="1" spans="1:11">
      <c r="A187" s="272"/>
      <c r="B187" s="273"/>
      <c r="C187" s="274" t="s">
        <v>756</v>
      </c>
      <c r="D187" s="273"/>
      <c r="E187" s="275"/>
      <c r="F187" s="276"/>
      <c r="G187" s="277"/>
      <c r="H187" s="275"/>
      <c r="I187" s="284"/>
      <c r="J187" s="284"/>
      <c r="K187" s="275">
        <v>38663</v>
      </c>
    </row>
    <row r="188" ht="17.25" customHeight="1" spans="1:11">
      <c r="A188" s="278"/>
      <c r="B188" s="131"/>
      <c r="C188" s="128" t="s">
        <v>766</v>
      </c>
      <c r="D188" s="131" t="s">
        <v>691</v>
      </c>
      <c r="E188" s="279"/>
      <c r="F188" s="280"/>
      <c r="G188" s="246">
        <v>21</v>
      </c>
      <c r="H188" s="279">
        <v>1720.65</v>
      </c>
      <c r="I188" s="285">
        <v>1.07</v>
      </c>
      <c r="J188" s="107"/>
      <c r="K188" s="279">
        <v>38663</v>
      </c>
    </row>
    <row r="189" ht="18" customHeight="1" spans="1:11">
      <c r="A189" s="272"/>
      <c r="B189" s="273"/>
      <c r="C189" s="274" t="s">
        <v>758</v>
      </c>
      <c r="D189" s="273"/>
      <c r="E189" s="275"/>
      <c r="F189" s="276"/>
      <c r="G189" s="277"/>
      <c r="H189" s="275"/>
      <c r="I189" s="284"/>
      <c r="J189" s="284"/>
      <c r="K189" s="275">
        <v>205596.7</v>
      </c>
    </row>
    <row r="190" ht="17.25" customHeight="1" spans="1:11">
      <c r="A190" s="278"/>
      <c r="B190" s="131"/>
      <c r="C190" s="128" t="s">
        <v>759</v>
      </c>
      <c r="D190" s="131"/>
      <c r="E190" s="279"/>
      <c r="F190" s="280"/>
      <c r="G190" s="246">
        <v>1</v>
      </c>
      <c r="H190" s="279"/>
      <c r="I190" s="107"/>
      <c r="J190" s="107"/>
      <c r="K190" s="279">
        <v>205596.7</v>
      </c>
    </row>
    <row r="191" ht="17.25" customHeight="1" spans="1:11">
      <c r="A191" s="278"/>
      <c r="B191" s="131"/>
      <c r="C191" s="128" t="s">
        <v>760</v>
      </c>
      <c r="D191" s="131"/>
      <c r="E191" s="279"/>
      <c r="F191" s="280"/>
      <c r="G191" s="246">
        <v>2.16</v>
      </c>
      <c r="H191" s="279">
        <f>D13</f>
        <v>2474775</v>
      </c>
      <c r="I191" s="107"/>
      <c r="J191" s="280">
        <v>26</v>
      </c>
      <c r="K191" s="279">
        <v>205596.7</v>
      </c>
    </row>
    <row r="192" ht="18" customHeight="1" spans="1:11">
      <c r="A192" s="272"/>
      <c r="B192" s="273"/>
      <c r="C192" s="274" t="s">
        <v>762</v>
      </c>
      <c r="D192" s="273"/>
      <c r="E192" s="275"/>
      <c r="F192" s="276"/>
      <c r="G192" s="277"/>
      <c r="H192" s="275"/>
      <c r="I192" s="284"/>
      <c r="J192" s="284"/>
      <c r="K192" s="275">
        <f>SUM(K193:K195)</f>
        <v>149083.8</v>
      </c>
    </row>
    <row r="193" ht="17.25" customHeight="1" spans="1:11">
      <c r="A193" s="278"/>
      <c r="B193" s="131"/>
      <c r="C193" s="128" t="s">
        <v>763</v>
      </c>
      <c r="D193" s="131"/>
      <c r="E193" s="279"/>
      <c r="F193" s="280">
        <v>280</v>
      </c>
      <c r="G193" s="281">
        <v>0.18</v>
      </c>
      <c r="H193" s="279">
        <f>E186</f>
        <v>163700000</v>
      </c>
      <c r="I193" s="286">
        <v>0.9</v>
      </c>
      <c r="J193" s="107"/>
      <c r="K193" s="279">
        <v>94712.1</v>
      </c>
    </row>
    <row r="194" ht="17.25" customHeight="1" spans="1:11">
      <c r="A194" s="278"/>
      <c r="B194" s="131"/>
      <c r="C194" s="128" t="s">
        <v>764</v>
      </c>
      <c r="D194" s="131"/>
      <c r="E194" s="279"/>
      <c r="F194" s="280">
        <v>280</v>
      </c>
      <c r="G194" s="281">
        <v>0.043</v>
      </c>
      <c r="H194" s="279">
        <f>E186</f>
        <v>163700000</v>
      </c>
      <c r="I194" s="107"/>
      <c r="J194" s="107"/>
      <c r="K194" s="279">
        <v>25139.6</v>
      </c>
    </row>
    <row r="195" ht="17.25" customHeight="1" spans="1:11">
      <c r="A195" s="278"/>
      <c r="B195" s="131"/>
      <c r="C195" s="128" t="s">
        <v>765</v>
      </c>
      <c r="D195" s="131"/>
      <c r="E195" s="279"/>
      <c r="F195" s="280">
        <v>280</v>
      </c>
      <c r="G195" s="281">
        <v>0.05</v>
      </c>
      <c r="H195" s="279">
        <f>E186</f>
        <v>163700000</v>
      </c>
      <c r="I195" s="107"/>
      <c r="J195" s="107"/>
      <c r="K195" s="279">
        <v>29232.1</v>
      </c>
    </row>
    <row r="196" ht="17.25" customHeight="1" spans="1:11">
      <c r="A196" s="265">
        <v>18</v>
      </c>
      <c r="B196" s="266" t="s">
        <v>656</v>
      </c>
      <c r="C196" s="267" t="s">
        <v>657</v>
      </c>
      <c r="D196" s="266" t="s">
        <v>612</v>
      </c>
      <c r="E196" s="268">
        <v>514900000</v>
      </c>
      <c r="F196" s="269"/>
      <c r="G196" s="270"/>
      <c r="H196" s="271"/>
      <c r="I196" s="282"/>
      <c r="J196" s="282"/>
      <c r="K196" s="283">
        <v>740827</v>
      </c>
    </row>
    <row r="197" ht="18" customHeight="1" spans="1:11">
      <c r="A197" s="272"/>
      <c r="B197" s="273"/>
      <c r="C197" s="274" t="s">
        <v>756</v>
      </c>
      <c r="D197" s="273"/>
      <c r="E197" s="275"/>
      <c r="F197" s="276"/>
      <c r="G197" s="277"/>
      <c r="H197" s="275"/>
      <c r="I197" s="284"/>
      <c r="J197" s="284"/>
      <c r="K197" s="275">
        <v>86531.5</v>
      </c>
    </row>
    <row r="198" ht="17.25" customHeight="1" spans="1:11">
      <c r="A198" s="278"/>
      <c r="B198" s="131"/>
      <c r="C198" s="128" t="s">
        <v>766</v>
      </c>
      <c r="D198" s="131" t="s">
        <v>691</v>
      </c>
      <c r="E198" s="279"/>
      <c r="F198" s="280"/>
      <c r="G198" s="246">
        <v>47</v>
      </c>
      <c r="H198" s="279">
        <v>1720.65</v>
      </c>
      <c r="I198" s="285">
        <v>1.07</v>
      </c>
      <c r="J198" s="107"/>
      <c r="K198" s="279">
        <v>86531.5</v>
      </c>
    </row>
    <row r="199" ht="18" customHeight="1" spans="1:11">
      <c r="A199" s="272"/>
      <c r="B199" s="273"/>
      <c r="C199" s="274" t="s">
        <v>758</v>
      </c>
      <c r="D199" s="273"/>
      <c r="E199" s="275"/>
      <c r="F199" s="276"/>
      <c r="G199" s="277"/>
      <c r="H199" s="275"/>
      <c r="I199" s="284"/>
      <c r="J199" s="284"/>
      <c r="K199" s="275">
        <v>205596.7</v>
      </c>
    </row>
    <row r="200" ht="17.25" customHeight="1" spans="1:11">
      <c r="A200" s="278"/>
      <c r="B200" s="131"/>
      <c r="C200" s="128" t="s">
        <v>759</v>
      </c>
      <c r="D200" s="131"/>
      <c r="E200" s="279"/>
      <c r="F200" s="280"/>
      <c r="G200" s="246">
        <v>1</v>
      </c>
      <c r="H200" s="279"/>
      <c r="I200" s="107"/>
      <c r="J200" s="107"/>
      <c r="K200" s="279">
        <v>205596.7</v>
      </c>
    </row>
    <row r="201" ht="17.25" customHeight="1" spans="1:11">
      <c r="A201" s="278"/>
      <c r="B201" s="131"/>
      <c r="C201" s="128" t="s">
        <v>760</v>
      </c>
      <c r="D201" s="131"/>
      <c r="E201" s="279"/>
      <c r="F201" s="280"/>
      <c r="G201" s="246">
        <v>2.16</v>
      </c>
      <c r="H201" s="279">
        <f>D13</f>
        <v>2474775</v>
      </c>
      <c r="I201" s="107"/>
      <c r="J201" s="280">
        <v>26</v>
      </c>
      <c r="K201" s="279">
        <v>205596.7</v>
      </c>
    </row>
    <row r="202" ht="18" customHeight="1" spans="1:11">
      <c r="A202" s="272"/>
      <c r="B202" s="273"/>
      <c r="C202" s="274" t="s">
        <v>762</v>
      </c>
      <c r="D202" s="273"/>
      <c r="E202" s="275"/>
      <c r="F202" s="276"/>
      <c r="G202" s="277"/>
      <c r="H202" s="275"/>
      <c r="I202" s="284"/>
      <c r="J202" s="284"/>
      <c r="K202" s="275">
        <f>SUM(K203:K205)</f>
        <v>448698.6</v>
      </c>
    </row>
    <row r="203" ht="17.25" customHeight="1" spans="1:11">
      <c r="A203" s="278"/>
      <c r="B203" s="131"/>
      <c r="C203" s="128" t="s">
        <v>763</v>
      </c>
      <c r="D203" s="131"/>
      <c r="E203" s="279"/>
      <c r="F203" s="280">
        <v>280</v>
      </c>
      <c r="G203" s="281">
        <v>0.17</v>
      </c>
      <c r="H203" s="279">
        <f>E196</f>
        <v>514900000</v>
      </c>
      <c r="I203" s="286">
        <v>0.9</v>
      </c>
      <c r="J203" s="107"/>
      <c r="K203" s="279">
        <v>281356.1</v>
      </c>
    </row>
    <row r="204" ht="17.25" customHeight="1" spans="1:11">
      <c r="A204" s="278"/>
      <c r="B204" s="131"/>
      <c r="C204" s="128" t="s">
        <v>764</v>
      </c>
      <c r="D204" s="131"/>
      <c r="E204" s="279"/>
      <c r="F204" s="280">
        <v>280</v>
      </c>
      <c r="G204" s="281">
        <v>0.041</v>
      </c>
      <c r="H204" s="279">
        <f>E196</f>
        <v>514900000</v>
      </c>
      <c r="I204" s="107"/>
      <c r="J204" s="107"/>
      <c r="K204" s="279">
        <v>75396.1</v>
      </c>
    </row>
    <row r="205" ht="17.25" customHeight="1" spans="1:11">
      <c r="A205" s="278"/>
      <c r="B205" s="131"/>
      <c r="C205" s="128" t="s">
        <v>765</v>
      </c>
      <c r="D205" s="131"/>
      <c r="E205" s="279"/>
      <c r="F205" s="280">
        <v>280</v>
      </c>
      <c r="G205" s="281">
        <v>0.05</v>
      </c>
      <c r="H205" s="279">
        <f>E196</f>
        <v>514900000</v>
      </c>
      <c r="I205" s="107"/>
      <c r="J205" s="107"/>
      <c r="K205" s="279">
        <v>91946.4</v>
      </c>
    </row>
    <row r="206" ht="17.25" customHeight="1" spans="1:11">
      <c r="A206" s="265">
        <v>19</v>
      </c>
      <c r="B206" s="266" t="s">
        <v>659</v>
      </c>
      <c r="C206" s="267" t="s">
        <v>657</v>
      </c>
      <c r="D206" s="266" t="s">
        <v>612</v>
      </c>
      <c r="E206" s="268">
        <v>514900000</v>
      </c>
      <c r="F206" s="269"/>
      <c r="G206" s="270"/>
      <c r="H206" s="271"/>
      <c r="I206" s="282"/>
      <c r="J206" s="282"/>
      <c r="K206" s="283">
        <v>740827</v>
      </c>
    </row>
    <row r="207" ht="18" customHeight="1" spans="1:11">
      <c r="A207" s="272"/>
      <c r="B207" s="273"/>
      <c r="C207" s="274" t="s">
        <v>756</v>
      </c>
      <c r="D207" s="273"/>
      <c r="E207" s="275"/>
      <c r="F207" s="276"/>
      <c r="G207" s="277"/>
      <c r="H207" s="275"/>
      <c r="I207" s="284"/>
      <c r="J207" s="284"/>
      <c r="K207" s="275">
        <v>86531.5</v>
      </c>
    </row>
    <row r="208" ht="17.25" customHeight="1" spans="1:11">
      <c r="A208" s="278"/>
      <c r="B208" s="131"/>
      <c r="C208" s="128" t="s">
        <v>766</v>
      </c>
      <c r="D208" s="131" t="s">
        <v>691</v>
      </c>
      <c r="E208" s="279"/>
      <c r="F208" s="280"/>
      <c r="G208" s="246">
        <v>47</v>
      </c>
      <c r="H208" s="279">
        <v>1720.65</v>
      </c>
      <c r="I208" s="285">
        <v>1.07</v>
      </c>
      <c r="J208" s="107"/>
      <c r="K208" s="279">
        <v>86531.5</v>
      </c>
    </row>
    <row r="209" ht="18" customHeight="1" spans="1:11">
      <c r="A209" s="272"/>
      <c r="B209" s="273"/>
      <c r="C209" s="274" t="s">
        <v>758</v>
      </c>
      <c r="D209" s="273"/>
      <c r="E209" s="275"/>
      <c r="F209" s="276"/>
      <c r="G209" s="277"/>
      <c r="H209" s="275"/>
      <c r="I209" s="284"/>
      <c r="J209" s="284"/>
      <c r="K209" s="275">
        <v>205596.7</v>
      </c>
    </row>
    <row r="210" ht="17.25" customHeight="1" spans="1:11">
      <c r="A210" s="278"/>
      <c r="B210" s="131"/>
      <c r="C210" s="128" t="s">
        <v>759</v>
      </c>
      <c r="D210" s="131"/>
      <c r="E210" s="279"/>
      <c r="F210" s="280"/>
      <c r="G210" s="246">
        <v>1</v>
      </c>
      <c r="H210" s="279"/>
      <c r="I210" s="107"/>
      <c r="J210" s="107"/>
      <c r="K210" s="279">
        <v>205596.7</v>
      </c>
    </row>
    <row r="211" ht="17.25" customHeight="1" spans="1:11">
      <c r="A211" s="278"/>
      <c r="B211" s="131"/>
      <c r="C211" s="128" t="s">
        <v>760</v>
      </c>
      <c r="D211" s="131"/>
      <c r="E211" s="279"/>
      <c r="F211" s="280"/>
      <c r="G211" s="246">
        <v>2.16</v>
      </c>
      <c r="H211" s="279">
        <f>D13</f>
        <v>2474775</v>
      </c>
      <c r="I211" s="107"/>
      <c r="J211" s="280">
        <v>26</v>
      </c>
      <c r="K211" s="279">
        <v>205596.7</v>
      </c>
    </row>
    <row r="212" ht="18" customHeight="1" spans="1:11">
      <c r="A212" s="272"/>
      <c r="B212" s="273"/>
      <c r="C212" s="274" t="s">
        <v>762</v>
      </c>
      <c r="D212" s="273"/>
      <c r="E212" s="275"/>
      <c r="F212" s="276"/>
      <c r="G212" s="277"/>
      <c r="H212" s="275"/>
      <c r="I212" s="284"/>
      <c r="J212" s="284"/>
      <c r="K212" s="275">
        <f>SUM(K213:K215)</f>
        <v>448698.6</v>
      </c>
    </row>
    <row r="213" ht="17.25" customHeight="1" spans="1:11">
      <c r="A213" s="278"/>
      <c r="B213" s="131"/>
      <c r="C213" s="128" t="s">
        <v>763</v>
      </c>
      <c r="D213" s="131"/>
      <c r="E213" s="279"/>
      <c r="F213" s="280">
        <v>280</v>
      </c>
      <c r="G213" s="281">
        <v>0.17</v>
      </c>
      <c r="H213" s="279">
        <f>E206</f>
        <v>514900000</v>
      </c>
      <c r="I213" s="286">
        <v>0.9</v>
      </c>
      <c r="J213" s="107"/>
      <c r="K213" s="279">
        <v>281356.1</v>
      </c>
    </row>
    <row r="214" ht="17.25" customHeight="1" spans="1:11">
      <c r="A214" s="278"/>
      <c r="B214" s="131"/>
      <c r="C214" s="128" t="s">
        <v>764</v>
      </c>
      <c r="D214" s="131"/>
      <c r="E214" s="279"/>
      <c r="F214" s="280">
        <v>280</v>
      </c>
      <c r="G214" s="281">
        <v>0.041</v>
      </c>
      <c r="H214" s="279">
        <f>E206</f>
        <v>514900000</v>
      </c>
      <c r="I214" s="107"/>
      <c r="J214" s="107"/>
      <c r="K214" s="279">
        <v>75396.1</v>
      </c>
    </row>
    <row r="215" ht="17.25" customHeight="1" spans="1:11">
      <c r="A215" s="278"/>
      <c r="B215" s="131"/>
      <c r="C215" s="128" t="s">
        <v>765</v>
      </c>
      <c r="D215" s="131"/>
      <c r="E215" s="279"/>
      <c r="F215" s="280">
        <v>280</v>
      </c>
      <c r="G215" s="281">
        <v>0.05</v>
      </c>
      <c r="H215" s="279">
        <f>E206</f>
        <v>514900000</v>
      </c>
      <c r="I215" s="107"/>
      <c r="J215" s="107"/>
      <c r="K215" s="279">
        <v>91946.4</v>
      </c>
    </row>
    <row r="216" ht="17.25" customHeight="1" spans="1:11">
      <c r="A216" s="265">
        <v>20</v>
      </c>
      <c r="B216" s="266" t="s">
        <v>660</v>
      </c>
      <c r="C216" s="267" t="s">
        <v>661</v>
      </c>
      <c r="D216" s="266" t="s">
        <v>612</v>
      </c>
      <c r="E216" s="268">
        <v>2188200000</v>
      </c>
      <c r="F216" s="269"/>
      <c r="G216" s="270"/>
      <c r="H216" s="271"/>
      <c r="I216" s="282"/>
      <c r="J216" s="282"/>
      <c r="K216" s="283">
        <v>4019344</v>
      </c>
    </row>
    <row r="217" ht="18" customHeight="1" spans="1:11">
      <c r="A217" s="272"/>
      <c r="B217" s="273"/>
      <c r="C217" s="274" t="s">
        <v>756</v>
      </c>
      <c r="D217" s="273"/>
      <c r="E217" s="275"/>
      <c r="F217" s="276"/>
      <c r="G217" s="277"/>
      <c r="H217" s="275"/>
      <c r="I217" s="284"/>
      <c r="J217" s="284"/>
      <c r="K217" s="275">
        <v>827161.4</v>
      </c>
    </row>
    <row r="218" ht="17.25" customHeight="1" spans="1:11">
      <c r="A218" s="278"/>
      <c r="B218" s="131"/>
      <c r="C218" s="128" t="s">
        <v>757</v>
      </c>
      <c r="D218" s="131" t="s">
        <v>687</v>
      </c>
      <c r="E218" s="279"/>
      <c r="F218" s="280"/>
      <c r="G218" s="246">
        <v>53</v>
      </c>
      <c r="H218" s="279">
        <v>14863.6363636364</v>
      </c>
      <c r="I218" s="285">
        <v>1.05</v>
      </c>
      <c r="J218" s="107"/>
      <c r="K218" s="279">
        <v>827161.4</v>
      </c>
    </row>
    <row r="219" ht="18" customHeight="1" spans="1:11">
      <c r="A219" s="272"/>
      <c r="B219" s="273"/>
      <c r="C219" s="274" t="s">
        <v>758</v>
      </c>
      <c r="D219" s="273"/>
      <c r="E219" s="275"/>
      <c r="F219" s="276"/>
      <c r="G219" s="277"/>
      <c r="H219" s="275"/>
      <c r="I219" s="284"/>
      <c r="J219" s="284"/>
      <c r="K219" s="275">
        <v>566342.8</v>
      </c>
    </row>
    <row r="220" ht="30" customHeight="1" spans="1:11">
      <c r="A220" s="278"/>
      <c r="B220" s="131"/>
      <c r="C220" s="128" t="s">
        <v>770</v>
      </c>
      <c r="D220" s="131"/>
      <c r="E220" s="279"/>
      <c r="F220" s="280"/>
      <c r="G220" s="246">
        <v>1</v>
      </c>
      <c r="H220" s="279"/>
      <c r="I220" s="107"/>
      <c r="J220" s="107"/>
      <c r="K220" s="279">
        <v>238911</v>
      </c>
    </row>
    <row r="221" ht="17.25" customHeight="1" spans="1:11">
      <c r="A221" s="278"/>
      <c r="B221" s="131"/>
      <c r="C221" s="128" t="s">
        <v>760</v>
      </c>
      <c r="D221" s="131"/>
      <c r="E221" s="279"/>
      <c r="F221" s="280"/>
      <c r="G221" s="246">
        <v>2.51</v>
      </c>
      <c r="H221" s="279">
        <f>D13</f>
        <v>2474775</v>
      </c>
      <c r="I221" s="107"/>
      <c r="J221" s="280">
        <v>26</v>
      </c>
      <c r="K221" s="279">
        <v>238911</v>
      </c>
    </row>
    <row r="222" ht="30" customHeight="1" spans="1:11">
      <c r="A222" s="278"/>
      <c r="B222" s="131"/>
      <c r="C222" s="128" t="s">
        <v>771</v>
      </c>
      <c r="D222" s="131"/>
      <c r="E222" s="279"/>
      <c r="F222" s="280"/>
      <c r="G222" s="246">
        <v>1</v>
      </c>
      <c r="H222" s="279"/>
      <c r="I222" s="107"/>
      <c r="J222" s="107"/>
      <c r="K222" s="279">
        <v>327431.8</v>
      </c>
    </row>
    <row r="223" ht="17.25" customHeight="1" spans="1:11">
      <c r="A223" s="278"/>
      <c r="B223" s="131"/>
      <c r="C223" s="128" t="s">
        <v>760</v>
      </c>
      <c r="D223" s="131"/>
      <c r="E223" s="279"/>
      <c r="F223" s="280"/>
      <c r="G223" s="246">
        <v>3.44</v>
      </c>
      <c r="H223" s="279">
        <f>D13</f>
        <v>2474775</v>
      </c>
      <c r="I223" s="107"/>
      <c r="J223" s="280">
        <v>26</v>
      </c>
      <c r="K223" s="279">
        <v>327431.8</v>
      </c>
    </row>
    <row r="224" ht="18" customHeight="1" spans="1:11">
      <c r="A224" s="272"/>
      <c r="B224" s="273"/>
      <c r="C224" s="274" t="s">
        <v>762</v>
      </c>
      <c r="D224" s="273"/>
      <c r="E224" s="275"/>
      <c r="F224" s="276"/>
      <c r="G224" s="277"/>
      <c r="H224" s="275"/>
      <c r="I224" s="284"/>
      <c r="J224" s="284"/>
      <c r="K224" s="275">
        <f>SUM(K225:K227)</f>
        <v>2625840</v>
      </c>
    </row>
    <row r="225" ht="17.25" customHeight="1" spans="1:11">
      <c r="A225" s="278"/>
      <c r="B225" s="131"/>
      <c r="C225" s="128" t="s">
        <v>763</v>
      </c>
      <c r="D225" s="131"/>
      <c r="E225" s="279"/>
      <c r="F225" s="280">
        <v>200</v>
      </c>
      <c r="G225" s="281">
        <v>0.14</v>
      </c>
      <c r="H225" s="279">
        <f>E216</f>
        <v>2188200000</v>
      </c>
      <c r="I225" s="286">
        <v>0.9</v>
      </c>
      <c r="J225" s="107"/>
      <c r="K225" s="279">
        <v>1378566</v>
      </c>
    </row>
    <row r="226" ht="17.25" customHeight="1" spans="1:11">
      <c r="A226" s="278"/>
      <c r="B226" s="131"/>
      <c r="C226" s="128" t="s">
        <v>764</v>
      </c>
      <c r="D226" s="131"/>
      <c r="E226" s="279"/>
      <c r="F226" s="280">
        <v>200</v>
      </c>
      <c r="G226" s="281">
        <v>0.054</v>
      </c>
      <c r="H226" s="279">
        <f>E216</f>
        <v>2188200000</v>
      </c>
      <c r="I226" s="107"/>
      <c r="J226" s="107"/>
      <c r="K226" s="279">
        <v>590814</v>
      </c>
    </row>
    <row r="227" ht="17.25" customHeight="1" spans="1:11">
      <c r="A227" s="287"/>
      <c r="B227" s="132"/>
      <c r="C227" s="130" t="s">
        <v>765</v>
      </c>
      <c r="D227" s="132"/>
      <c r="E227" s="288"/>
      <c r="F227" s="289">
        <v>200</v>
      </c>
      <c r="G227" s="290">
        <v>0.06</v>
      </c>
      <c r="H227" s="288">
        <f>E216</f>
        <v>2188200000</v>
      </c>
      <c r="I227" s="114"/>
      <c r="J227" s="114"/>
      <c r="K227" s="288">
        <v>656460</v>
      </c>
    </row>
  </sheetData>
  <mergeCells count="23">
    <mergeCell ref="A1:K1"/>
    <mergeCell ref="A2:K2"/>
    <mergeCell ref="A3:K3"/>
    <mergeCell ref="A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A14:K14"/>
  </mergeCells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97"/>
  <sheetViews>
    <sheetView zoomScaleSheetLayoutView="60" workbookViewId="0">
      <selection activeCell="A1" sqref="A1:W1"/>
    </sheetView>
  </sheetViews>
  <sheetFormatPr defaultColWidth="10" defaultRowHeight="15" customHeight="1"/>
  <cols>
    <col min="1" max="1" width="6.5" style="14" customWidth="1"/>
    <col min="2" max="2" width="12.5" style="14" customWidth="1"/>
    <col min="3" max="3" width="37.6666666666667" style="14" customWidth="1"/>
    <col min="4" max="4" width="11.6666666666667" style="14" customWidth="1"/>
    <col min="5" max="5" width="15" style="14" customWidth="1"/>
    <col min="6" max="8" width="10.8333333333333" style="14" customWidth="1"/>
    <col min="9" max="9" width="10" style="14" customWidth="1"/>
    <col min="10" max="12" width="15" style="14" customWidth="1"/>
    <col min="13" max="19" width="10" style="14" hidden="1" customWidth="1"/>
    <col min="20" max="16384" width="10" style="14"/>
  </cols>
  <sheetData>
    <row r="1" ht="26.25" customHeight="1" spans="1:1">
      <c r="A1" s="6" t="s">
        <v>773</v>
      </c>
    </row>
    <row r="2" ht="30" customHeight="1" spans="1:13">
      <c r="A2" s="7" t="s">
        <v>1</v>
      </c>
      <c r="M2" s="247" t="s">
        <v>774</v>
      </c>
    </row>
    <row r="3" ht="37.5" customHeight="1" spans="1:19">
      <c r="A3" s="8" t="s">
        <v>2</v>
      </c>
      <c r="M3" s="14" t="s">
        <v>775</v>
      </c>
      <c r="N3" s="14" t="s">
        <v>776</v>
      </c>
      <c r="O3" s="14" t="s">
        <v>777</v>
      </c>
      <c r="P3" s="14" t="s">
        <v>778</v>
      </c>
      <c r="Q3" s="14" t="s">
        <v>779</v>
      </c>
      <c r="R3" s="14" t="s">
        <v>780</v>
      </c>
      <c r="S3" s="14" t="s">
        <v>781</v>
      </c>
    </row>
    <row r="4" ht="18.75" customHeight="1" spans="1:16">
      <c r="A4" s="231" t="s">
        <v>3</v>
      </c>
      <c r="B4" s="232" t="s">
        <v>782</v>
      </c>
      <c r="C4" s="232" t="s">
        <v>783</v>
      </c>
      <c r="D4" s="232" t="s">
        <v>6</v>
      </c>
      <c r="E4" s="232" t="s">
        <v>13</v>
      </c>
      <c r="F4" s="233" t="s">
        <v>784</v>
      </c>
      <c r="G4" s="233"/>
      <c r="H4" s="43"/>
      <c r="I4" s="232" t="s">
        <v>9</v>
      </c>
      <c r="J4" s="233" t="s">
        <v>785</v>
      </c>
      <c r="K4" s="233"/>
      <c r="L4" s="43"/>
      <c r="M4" s="14">
        <f>SUM(M6:M223)</f>
        <v>170118</v>
      </c>
      <c r="N4" s="14">
        <f>SUM(N6:N223)</f>
        <v>31029</v>
      </c>
      <c r="O4" s="14">
        <f>SUM(O6:O223)</f>
        <v>175293</v>
      </c>
      <c r="P4" s="14">
        <f>SUM(P6:P223)</f>
        <v>33167</v>
      </c>
    </row>
    <row r="5" ht="18.75" customHeight="1" spans="1:12">
      <c r="A5" s="234"/>
      <c r="B5" s="235"/>
      <c r="C5" s="235"/>
      <c r="D5" s="235"/>
      <c r="E5" s="235"/>
      <c r="F5" s="235" t="s">
        <v>31</v>
      </c>
      <c r="G5" s="235" t="s">
        <v>786</v>
      </c>
      <c r="H5" s="235" t="s">
        <v>38</v>
      </c>
      <c r="I5" s="235"/>
      <c r="J5" s="235" t="s">
        <v>31</v>
      </c>
      <c r="K5" s="235" t="s">
        <v>33</v>
      </c>
      <c r="L5" s="235" t="s">
        <v>38</v>
      </c>
    </row>
    <row r="6" ht="42.75" customHeight="1" spans="1:12">
      <c r="A6" s="236">
        <v>1</v>
      </c>
      <c r="B6" s="237" t="s">
        <v>44</v>
      </c>
      <c r="C6" s="238" t="s">
        <v>45</v>
      </c>
      <c r="D6" s="237" t="s">
        <v>46</v>
      </c>
      <c r="E6" s="239">
        <v>0.5936</v>
      </c>
      <c r="F6" s="240"/>
      <c r="G6" s="240"/>
      <c r="H6" s="240"/>
      <c r="I6" s="248"/>
      <c r="J6" s="239"/>
      <c r="K6" s="239"/>
      <c r="L6" s="239"/>
    </row>
    <row r="7" ht="17.25" customHeight="1" spans="1:12">
      <c r="A7" s="241"/>
      <c r="B7" s="47"/>
      <c r="C7" s="242" t="s">
        <v>787</v>
      </c>
      <c r="D7" s="243"/>
      <c r="E7" s="244"/>
      <c r="F7" s="245"/>
      <c r="G7" s="245"/>
      <c r="H7" s="245"/>
      <c r="I7" s="249"/>
      <c r="J7" s="244"/>
      <c r="K7" s="244"/>
      <c r="L7" s="244"/>
    </row>
    <row r="8" ht="17.25" customHeight="1" spans="1:19">
      <c r="A8" s="241"/>
      <c r="B8" s="47" t="s">
        <v>592</v>
      </c>
      <c r="C8" s="104" t="s">
        <v>593</v>
      </c>
      <c r="D8" s="47" t="s">
        <v>594</v>
      </c>
      <c r="E8" s="108"/>
      <c r="F8" s="246"/>
      <c r="G8" s="246">
        <v>6.11</v>
      </c>
      <c r="H8" s="246"/>
      <c r="I8" s="250">
        <v>1</v>
      </c>
      <c r="J8" s="108"/>
      <c r="K8" s="108">
        <f>ROUND(E6*G8*I8,4)</f>
        <v>3.6269</v>
      </c>
      <c r="L8" s="108"/>
      <c r="S8" s="14">
        <v>200</v>
      </c>
    </row>
    <row r="9" ht="17.25" customHeight="1" spans="1:12">
      <c r="A9" s="241"/>
      <c r="B9" s="47"/>
      <c r="C9" s="242" t="s">
        <v>788</v>
      </c>
      <c r="D9" s="243"/>
      <c r="E9" s="244"/>
      <c r="F9" s="245"/>
      <c r="G9" s="245"/>
      <c r="H9" s="245"/>
      <c r="I9" s="249"/>
      <c r="J9" s="244"/>
      <c r="K9" s="244"/>
      <c r="L9" s="244"/>
    </row>
    <row r="10" ht="17.25" customHeight="1" spans="1:19">
      <c r="A10" s="241"/>
      <c r="B10" s="47" t="s">
        <v>624</v>
      </c>
      <c r="C10" s="104" t="s">
        <v>625</v>
      </c>
      <c r="D10" s="47" t="s">
        <v>612</v>
      </c>
      <c r="E10" s="108"/>
      <c r="F10" s="246"/>
      <c r="G10" s="246"/>
      <c r="H10" s="246">
        <v>0.372</v>
      </c>
      <c r="I10" s="250">
        <v>1</v>
      </c>
      <c r="J10" s="108"/>
      <c r="K10" s="108"/>
      <c r="L10" s="108">
        <f>ROUND(E6*H10*I10,4)</f>
        <v>0.2208</v>
      </c>
      <c r="S10" s="14">
        <v>302</v>
      </c>
    </row>
    <row r="11" ht="30" customHeight="1" spans="1:12">
      <c r="A11" s="236">
        <v>2</v>
      </c>
      <c r="B11" s="237" t="s">
        <v>53</v>
      </c>
      <c r="C11" s="238" t="s">
        <v>54</v>
      </c>
      <c r="D11" s="237" t="s">
        <v>55</v>
      </c>
      <c r="E11" s="239">
        <v>10.476</v>
      </c>
      <c r="F11" s="240"/>
      <c r="G11" s="240"/>
      <c r="H11" s="240"/>
      <c r="I11" s="248"/>
      <c r="J11" s="239"/>
      <c r="K11" s="239"/>
      <c r="L11" s="239"/>
    </row>
    <row r="12" ht="17.25" customHeight="1" spans="1:12">
      <c r="A12" s="241"/>
      <c r="B12" s="47"/>
      <c r="C12" s="242" t="s">
        <v>787</v>
      </c>
      <c r="D12" s="243"/>
      <c r="E12" s="244"/>
      <c r="F12" s="245"/>
      <c r="G12" s="245"/>
      <c r="H12" s="245"/>
      <c r="I12" s="249"/>
      <c r="J12" s="244"/>
      <c r="K12" s="244"/>
      <c r="L12" s="244"/>
    </row>
    <row r="13" ht="17.25" customHeight="1" spans="1:19">
      <c r="A13" s="241"/>
      <c r="B13" s="47" t="s">
        <v>592</v>
      </c>
      <c r="C13" s="104" t="s">
        <v>593</v>
      </c>
      <c r="D13" s="47" t="s">
        <v>594</v>
      </c>
      <c r="E13" s="108"/>
      <c r="F13" s="246"/>
      <c r="G13" s="246">
        <v>0.68</v>
      </c>
      <c r="H13" s="246"/>
      <c r="I13" s="250">
        <v>1</v>
      </c>
      <c r="J13" s="108"/>
      <c r="K13" s="108">
        <f>ROUND(E11*G13*I13,4)</f>
        <v>7.1237</v>
      </c>
      <c r="L13" s="108"/>
      <c r="S13" s="14">
        <v>200</v>
      </c>
    </row>
    <row r="14" ht="30" customHeight="1" spans="1:12">
      <c r="A14" s="236">
        <v>3</v>
      </c>
      <c r="B14" s="237" t="s">
        <v>58</v>
      </c>
      <c r="C14" s="238" t="s">
        <v>59</v>
      </c>
      <c r="D14" s="237" t="s">
        <v>46</v>
      </c>
      <c r="E14" s="239">
        <v>0.5296</v>
      </c>
      <c r="F14" s="240"/>
      <c r="G14" s="240"/>
      <c r="H14" s="240"/>
      <c r="I14" s="248"/>
      <c r="J14" s="239"/>
      <c r="K14" s="239"/>
      <c r="L14" s="239"/>
    </row>
    <row r="15" ht="17.25" customHeight="1" spans="1:12">
      <c r="A15" s="241"/>
      <c r="B15" s="47"/>
      <c r="C15" s="242" t="s">
        <v>787</v>
      </c>
      <c r="D15" s="243"/>
      <c r="E15" s="244"/>
      <c r="F15" s="245"/>
      <c r="G15" s="245"/>
      <c r="H15" s="245"/>
      <c r="I15" s="249"/>
      <c r="J15" s="244"/>
      <c r="K15" s="244"/>
      <c r="L15" s="244"/>
    </row>
    <row r="16" ht="17.25" customHeight="1" spans="1:19">
      <c r="A16" s="241"/>
      <c r="B16" s="47" t="s">
        <v>602</v>
      </c>
      <c r="C16" s="104" t="s">
        <v>603</v>
      </c>
      <c r="D16" s="47" t="s">
        <v>594</v>
      </c>
      <c r="E16" s="108"/>
      <c r="F16" s="246"/>
      <c r="G16" s="246">
        <v>8.84</v>
      </c>
      <c r="H16" s="246"/>
      <c r="I16" s="250">
        <v>1</v>
      </c>
      <c r="J16" s="108"/>
      <c r="K16" s="108">
        <f>ROUND(E14*G16*I16,4)</f>
        <v>4.6817</v>
      </c>
      <c r="L16" s="108"/>
      <c r="S16" s="14">
        <v>203</v>
      </c>
    </row>
    <row r="17" ht="17.25" customHeight="1" spans="1:12">
      <c r="A17" s="241"/>
      <c r="B17" s="47"/>
      <c r="C17" s="242" t="s">
        <v>788</v>
      </c>
      <c r="D17" s="243"/>
      <c r="E17" s="244"/>
      <c r="F17" s="245"/>
      <c r="G17" s="245"/>
      <c r="H17" s="245"/>
      <c r="I17" s="249"/>
      <c r="J17" s="244"/>
      <c r="K17" s="244"/>
      <c r="L17" s="244"/>
    </row>
    <row r="18" ht="17.25" customHeight="1" spans="1:19">
      <c r="A18" s="241"/>
      <c r="B18" s="47" t="s">
        <v>630</v>
      </c>
      <c r="C18" s="104" t="s">
        <v>631</v>
      </c>
      <c r="D18" s="47" t="s">
        <v>612</v>
      </c>
      <c r="E18" s="108"/>
      <c r="F18" s="246"/>
      <c r="G18" s="246"/>
      <c r="H18" s="246">
        <v>4.42</v>
      </c>
      <c r="I18" s="250">
        <v>1</v>
      </c>
      <c r="J18" s="108"/>
      <c r="K18" s="108"/>
      <c r="L18" s="108">
        <f>ROUND(E14*H18*I18,4)</f>
        <v>2.3408</v>
      </c>
      <c r="S18" s="14">
        <v>304</v>
      </c>
    </row>
    <row r="19" ht="42.75" customHeight="1" spans="1:12">
      <c r="A19" s="236">
        <v>4</v>
      </c>
      <c r="B19" s="237" t="s">
        <v>70</v>
      </c>
      <c r="C19" s="238" t="s">
        <v>71</v>
      </c>
      <c r="D19" s="237" t="s">
        <v>46</v>
      </c>
      <c r="E19" s="239">
        <v>0.1418</v>
      </c>
      <c r="F19" s="240"/>
      <c r="G19" s="240"/>
      <c r="H19" s="240"/>
      <c r="I19" s="248"/>
      <c r="J19" s="239"/>
      <c r="K19" s="239"/>
      <c r="L19" s="239"/>
    </row>
    <row r="20" ht="17.25" customHeight="1" spans="1:12">
      <c r="A20" s="241"/>
      <c r="B20" s="47"/>
      <c r="C20" s="242" t="s">
        <v>789</v>
      </c>
      <c r="D20" s="243"/>
      <c r="E20" s="244"/>
      <c r="F20" s="245"/>
      <c r="G20" s="245"/>
      <c r="H20" s="245"/>
      <c r="I20" s="249"/>
      <c r="J20" s="244"/>
      <c r="K20" s="244"/>
      <c r="L20" s="244"/>
    </row>
    <row r="21" ht="17.25" customHeight="1" spans="1:19">
      <c r="A21" s="241"/>
      <c r="B21" s="47" t="s">
        <v>506</v>
      </c>
      <c r="C21" s="104" t="s">
        <v>507</v>
      </c>
      <c r="D21" s="47" t="s">
        <v>55</v>
      </c>
      <c r="E21" s="108"/>
      <c r="F21" s="246">
        <v>122</v>
      </c>
      <c r="G21" s="246"/>
      <c r="H21" s="246"/>
      <c r="I21" s="250">
        <v>1</v>
      </c>
      <c r="J21" s="108">
        <f>ROUND(E19*F21*I21,4)</f>
        <v>17.2996</v>
      </c>
      <c r="K21" s="108"/>
      <c r="L21" s="108"/>
      <c r="S21" s="14">
        <v>100</v>
      </c>
    </row>
    <row r="22" ht="17.25" customHeight="1" spans="1:12">
      <c r="A22" s="241"/>
      <c r="B22" s="47"/>
      <c r="C22" s="242" t="s">
        <v>787</v>
      </c>
      <c r="D22" s="243"/>
      <c r="E22" s="244"/>
      <c r="F22" s="245"/>
      <c r="G22" s="245"/>
      <c r="H22" s="245"/>
      <c r="I22" s="249"/>
      <c r="J22" s="244"/>
      <c r="K22" s="244"/>
      <c r="L22" s="244"/>
    </row>
    <row r="23" ht="17.25" customHeight="1" spans="1:19">
      <c r="A23" s="241"/>
      <c r="B23" s="47" t="s">
        <v>592</v>
      </c>
      <c r="C23" s="104" t="s">
        <v>593</v>
      </c>
      <c r="D23" s="47" t="s">
        <v>594</v>
      </c>
      <c r="E23" s="108"/>
      <c r="F23" s="246"/>
      <c r="G23" s="246">
        <v>4.64</v>
      </c>
      <c r="H23" s="246"/>
      <c r="I23" s="250">
        <v>1</v>
      </c>
      <c r="J23" s="108"/>
      <c r="K23" s="108">
        <f>ROUND(E19*G23*I23,4)</f>
        <v>0.658</v>
      </c>
      <c r="L23" s="108"/>
      <c r="S23" s="14">
        <v>200</v>
      </c>
    </row>
    <row r="24" ht="17.25" customHeight="1" spans="1:12">
      <c r="A24" s="241"/>
      <c r="B24" s="47"/>
      <c r="C24" s="242" t="s">
        <v>788</v>
      </c>
      <c r="D24" s="243"/>
      <c r="E24" s="244"/>
      <c r="F24" s="245"/>
      <c r="G24" s="245"/>
      <c r="H24" s="245"/>
      <c r="I24" s="249"/>
      <c r="J24" s="244"/>
      <c r="K24" s="244"/>
      <c r="L24" s="244"/>
    </row>
    <row r="25" ht="17.25" customHeight="1" spans="1:19">
      <c r="A25" s="241"/>
      <c r="B25" s="47" t="s">
        <v>630</v>
      </c>
      <c r="C25" s="104" t="s">
        <v>631</v>
      </c>
      <c r="D25" s="47" t="s">
        <v>612</v>
      </c>
      <c r="E25" s="108"/>
      <c r="F25" s="246"/>
      <c r="G25" s="246"/>
      <c r="H25" s="246">
        <v>2.32</v>
      </c>
      <c r="I25" s="250">
        <v>1</v>
      </c>
      <c r="J25" s="108"/>
      <c r="K25" s="108"/>
      <c r="L25" s="108">
        <f>ROUND(E19*H25*I25,4)</f>
        <v>0.329</v>
      </c>
      <c r="S25" s="14">
        <v>304</v>
      </c>
    </row>
    <row r="26" ht="17.25" customHeight="1" spans="1:16">
      <c r="A26" s="241"/>
      <c r="B26" s="47" t="s">
        <v>790</v>
      </c>
      <c r="C26" s="104" t="s">
        <v>791</v>
      </c>
      <c r="D26" s="47" t="s">
        <v>792</v>
      </c>
      <c r="E26" s="108"/>
      <c r="F26" s="246"/>
      <c r="G26" s="246"/>
      <c r="H26" s="246">
        <v>1.5</v>
      </c>
      <c r="I26" s="250"/>
      <c r="J26" s="108"/>
      <c r="K26" s="108"/>
      <c r="L26" s="108"/>
      <c r="N26" s="14">
        <v>1547</v>
      </c>
      <c r="P26" s="14">
        <v>1600</v>
      </c>
    </row>
    <row r="27" ht="42.75" customHeight="1" spans="1:12">
      <c r="A27" s="236">
        <v>5</v>
      </c>
      <c r="B27" s="237" t="s">
        <v>77</v>
      </c>
      <c r="C27" s="238" t="s">
        <v>78</v>
      </c>
      <c r="D27" s="237" t="s">
        <v>46</v>
      </c>
      <c r="E27" s="239">
        <v>0.1688</v>
      </c>
      <c r="F27" s="240"/>
      <c r="G27" s="240"/>
      <c r="H27" s="240"/>
      <c r="I27" s="248"/>
      <c r="J27" s="239"/>
      <c r="K27" s="239"/>
      <c r="L27" s="239"/>
    </row>
    <row r="28" ht="17.25" customHeight="1" spans="1:12">
      <c r="A28" s="241"/>
      <c r="B28" s="47"/>
      <c r="C28" s="242" t="s">
        <v>788</v>
      </c>
      <c r="D28" s="243"/>
      <c r="E28" s="244"/>
      <c r="F28" s="245"/>
      <c r="G28" s="245"/>
      <c r="H28" s="245"/>
      <c r="I28" s="249"/>
      <c r="J28" s="244"/>
      <c r="K28" s="244"/>
      <c r="L28" s="244"/>
    </row>
    <row r="29" ht="17.25" customHeight="1" spans="1:19">
      <c r="A29" s="241"/>
      <c r="B29" s="47" t="s">
        <v>651</v>
      </c>
      <c r="C29" s="104" t="s">
        <v>652</v>
      </c>
      <c r="D29" s="47" t="s">
        <v>612</v>
      </c>
      <c r="E29" s="108"/>
      <c r="F29" s="246"/>
      <c r="G29" s="246"/>
      <c r="H29" s="246">
        <v>0.77</v>
      </c>
      <c r="I29" s="250">
        <v>1</v>
      </c>
      <c r="J29" s="108"/>
      <c r="K29" s="108"/>
      <c r="L29" s="108">
        <f>ROUND(E27*H29*I29,4)</f>
        <v>0.13</v>
      </c>
      <c r="S29" s="14">
        <v>3010</v>
      </c>
    </row>
    <row r="30" ht="42.75" customHeight="1" spans="1:12">
      <c r="A30" s="236">
        <v>6</v>
      </c>
      <c r="B30" s="237" t="s">
        <v>81</v>
      </c>
      <c r="C30" s="238" t="s">
        <v>82</v>
      </c>
      <c r="D30" s="237" t="s">
        <v>46</v>
      </c>
      <c r="E30" s="239">
        <v>0.1688</v>
      </c>
      <c r="F30" s="240"/>
      <c r="G30" s="240"/>
      <c r="H30" s="240"/>
      <c r="I30" s="248"/>
      <c r="J30" s="239"/>
      <c r="K30" s="239"/>
      <c r="L30" s="239"/>
    </row>
    <row r="31" ht="17.25" customHeight="1" spans="1:12">
      <c r="A31" s="241"/>
      <c r="B31" s="47"/>
      <c r="C31" s="242" t="s">
        <v>788</v>
      </c>
      <c r="D31" s="243"/>
      <c r="E31" s="244"/>
      <c r="F31" s="245"/>
      <c r="G31" s="245"/>
      <c r="H31" s="245"/>
      <c r="I31" s="249"/>
      <c r="J31" s="244"/>
      <c r="K31" s="244"/>
      <c r="L31" s="244"/>
    </row>
    <row r="32" ht="17.25" customHeight="1" spans="1:19">
      <c r="A32" s="241"/>
      <c r="B32" s="47" t="s">
        <v>651</v>
      </c>
      <c r="C32" s="104" t="s">
        <v>652</v>
      </c>
      <c r="D32" s="47" t="s">
        <v>612</v>
      </c>
      <c r="E32" s="108"/>
      <c r="F32" s="246"/>
      <c r="G32" s="246"/>
      <c r="H32" s="246">
        <v>0.22</v>
      </c>
      <c r="I32" s="250">
        <v>7</v>
      </c>
      <c r="J32" s="108"/>
      <c r="K32" s="108"/>
      <c r="L32" s="108">
        <f>ROUND(E30*H32*I32,4)</f>
        <v>0.26</v>
      </c>
      <c r="S32" s="14">
        <v>3010</v>
      </c>
    </row>
    <row r="33" ht="30" customHeight="1" spans="1:12">
      <c r="A33" s="236">
        <v>7</v>
      </c>
      <c r="B33" s="237" t="s">
        <v>84</v>
      </c>
      <c r="C33" s="238" t="s">
        <v>85</v>
      </c>
      <c r="D33" s="237" t="s">
        <v>46</v>
      </c>
      <c r="E33" s="239">
        <v>0.1688</v>
      </c>
      <c r="F33" s="240"/>
      <c r="G33" s="240"/>
      <c r="H33" s="240"/>
      <c r="I33" s="248"/>
      <c r="J33" s="239"/>
      <c r="K33" s="239"/>
      <c r="L33" s="239"/>
    </row>
    <row r="34" ht="17.25" customHeight="1" spans="1:12">
      <c r="A34" s="241"/>
      <c r="B34" s="47"/>
      <c r="C34" s="242" t="s">
        <v>788</v>
      </c>
      <c r="D34" s="243"/>
      <c r="E34" s="244"/>
      <c r="F34" s="245"/>
      <c r="G34" s="245"/>
      <c r="H34" s="245"/>
      <c r="I34" s="249"/>
      <c r="J34" s="244"/>
      <c r="K34" s="244"/>
      <c r="L34" s="244"/>
    </row>
    <row r="35" ht="17.25" customHeight="1" spans="1:19">
      <c r="A35" s="241"/>
      <c r="B35" s="47" t="s">
        <v>651</v>
      </c>
      <c r="C35" s="104" t="s">
        <v>652</v>
      </c>
      <c r="D35" s="47" t="s">
        <v>612</v>
      </c>
      <c r="E35" s="108"/>
      <c r="F35" s="246"/>
      <c r="G35" s="246"/>
      <c r="H35" s="246">
        <v>0.136</v>
      </c>
      <c r="I35" s="250">
        <v>7</v>
      </c>
      <c r="J35" s="108"/>
      <c r="K35" s="108"/>
      <c r="L35" s="108">
        <f>ROUND(E33*H35*I35,4)</f>
        <v>0.1607</v>
      </c>
      <c r="S35" s="14">
        <v>3010</v>
      </c>
    </row>
    <row r="36" ht="30" customHeight="1" spans="1:12">
      <c r="A36" s="236">
        <v>8</v>
      </c>
      <c r="B36" s="237" t="s">
        <v>87</v>
      </c>
      <c r="C36" s="238" t="s">
        <v>88</v>
      </c>
      <c r="D36" s="237" t="s">
        <v>89</v>
      </c>
      <c r="E36" s="239">
        <v>11.304</v>
      </c>
      <c r="F36" s="240"/>
      <c r="G36" s="240"/>
      <c r="H36" s="240"/>
      <c r="I36" s="248"/>
      <c r="J36" s="239"/>
      <c r="K36" s="239"/>
      <c r="L36" s="239"/>
    </row>
    <row r="37" ht="17.25" customHeight="1" spans="1:12">
      <c r="A37" s="241"/>
      <c r="B37" s="47"/>
      <c r="C37" s="242" t="s">
        <v>789</v>
      </c>
      <c r="D37" s="243"/>
      <c r="E37" s="244"/>
      <c r="F37" s="245"/>
      <c r="G37" s="245"/>
      <c r="H37" s="245"/>
      <c r="I37" s="249"/>
      <c r="J37" s="244"/>
      <c r="K37" s="244"/>
      <c r="L37" s="244"/>
    </row>
    <row r="38" ht="17.25" customHeight="1" spans="1:19">
      <c r="A38" s="241"/>
      <c r="B38" s="47" t="s">
        <v>524</v>
      </c>
      <c r="C38" s="104" t="s">
        <v>525</v>
      </c>
      <c r="D38" s="47" t="s">
        <v>526</v>
      </c>
      <c r="E38" s="108"/>
      <c r="F38" s="246">
        <v>0.049</v>
      </c>
      <c r="G38" s="246"/>
      <c r="H38" s="246"/>
      <c r="I38" s="250">
        <v>1</v>
      </c>
      <c r="J38" s="108">
        <f>ROUND(E36*F38*I38,4)</f>
        <v>0.5539</v>
      </c>
      <c r="K38" s="108"/>
      <c r="L38" s="108"/>
      <c r="Q38" s="14">
        <v>0</v>
      </c>
      <c r="R38" s="14">
        <v>0</v>
      </c>
      <c r="S38" s="14">
        <v>104</v>
      </c>
    </row>
    <row r="39" ht="17.25" customHeight="1" spans="1:19">
      <c r="A39" s="241"/>
      <c r="B39" s="47" t="s">
        <v>533</v>
      </c>
      <c r="C39" s="104" t="s">
        <v>534</v>
      </c>
      <c r="D39" s="47" t="s">
        <v>526</v>
      </c>
      <c r="E39" s="108"/>
      <c r="F39" s="246">
        <v>0.02</v>
      </c>
      <c r="G39" s="246"/>
      <c r="H39" s="246"/>
      <c r="I39" s="250">
        <v>1</v>
      </c>
      <c r="J39" s="108">
        <f>ROUND(E36*F39*I39,4)</f>
        <v>0.2261</v>
      </c>
      <c r="K39" s="108"/>
      <c r="L39" s="108"/>
      <c r="Q39" s="14">
        <v>0</v>
      </c>
      <c r="R39" s="14">
        <v>0</v>
      </c>
      <c r="S39" s="14">
        <v>107</v>
      </c>
    </row>
    <row r="40" ht="17.25" customHeight="1" spans="1:15">
      <c r="A40" s="241"/>
      <c r="B40" s="47" t="s">
        <v>793</v>
      </c>
      <c r="C40" s="104" t="s">
        <v>794</v>
      </c>
      <c r="D40" s="47" t="s">
        <v>792</v>
      </c>
      <c r="E40" s="108"/>
      <c r="F40" s="246">
        <v>2</v>
      </c>
      <c r="G40" s="246"/>
      <c r="H40" s="246"/>
      <c r="I40" s="250"/>
      <c r="J40" s="108"/>
      <c r="K40" s="108"/>
      <c r="L40" s="108"/>
      <c r="M40" s="14">
        <v>240</v>
      </c>
      <c r="O40" s="14">
        <v>240</v>
      </c>
    </row>
    <row r="41" ht="17.25" customHeight="1" spans="1:12">
      <c r="A41" s="241"/>
      <c r="B41" s="47"/>
      <c r="C41" s="242" t="s">
        <v>787</v>
      </c>
      <c r="D41" s="243"/>
      <c r="E41" s="244"/>
      <c r="F41" s="245"/>
      <c r="G41" s="245"/>
      <c r="H41" s="245"/>
      <c r="I41" s="249"/>
      <c r="J41" s="244"/>
      <c r="K41" s="244"/>
      <c r="L41" s="244"/>
    </row>
    <row r="42" ht="30" customHeight="1" spans="1:19">
      <c r="A42" s="241"/>
      <c r="B42" s="47" t="s">
        <v>599</v>
      </c>
      <c r="C42" s="104" t="s">
        <v>600</v>
      </c>
      <c r="D42" s="47" t="s">
        <v>594</v>
      </c>
      <c r="E42" s="108"/>
      <c r="F42" s="246"/>
      <c r="G42" s="246">
        <v>0.31</v>
      </c>
      <c r="H42" s="246"/>
      <c r="I42" s="250">
        <v>1</v>
      </c>
      <c r="J42" s="108"/>
      <c r="K42" s="108">
        <f>ROUND(E36*G42*I42,4)</f>
        <v>3.5042</v>
      </c>
      <c r="L42" s="108"/>
      <c r="S42" s="14">
        <v>202</v>
      </c>
    </row>
    <row r="43" ht="17.25" customHeight="1" spans="1:12">
      <c r="A43" s="241"/>
      <c r="B43" s="47"/>
      <c r="C43" s="242" t="s">
        <v>788</v>
      </c>
      <c r="D43" s="243"/>
      <c r="E43" s="244"/>
      <c r="F43" s="245"/>
      <c r="G43" s="245"/>
      <c r="H43" s="245"/>
      <c r="I43" s="249"/>
      <c r="J43" s="244"/>
      <c r="K43" s="244"/>
      <c r="L43" s="244"/>
    </row>
    <row r="44" ht="17.25" customHeight="1" spans="1:19">
      <c r="A44" s="241"/>
      <c r="B44" s="47" t="s">
        <v>617</v>
      </c>
      <c r="C44" s="104" t="s">
        <v>618</v>
      </c>
      <c r="D44" s="47" t="s">
        <v>619</v>
      </c>
      <c r="E44" s="108"/>
      <c r="F44" s="246"/>
      <c r="G44" s="246"/>
      <c r="H44" s="246">
        <v>0.067</v>
      </c>
      <c r="I44" s="250">
        <v>1</v>
      </c>
      <c r="J44" s="108"/>
      <c r="K44" s="108"/>
      <c r="L44" s="108">
        <f>ROUND(E36*H44*I44,4)</f>
        <v>0.7574</v>
      </c>
      <c r="S44" s="14">
        <v>300</v>
      </c>
    </row>
    <row r="45" ht="17.25" customHeight="1" spans="1:19">
      <c r="A45" s="241"/>
      <c r="B45" s="47" t="s">
        <v>639</v>
      </c>
      <c r="C45" s="104" t="s">
        <v>640</v>
      </c>
      <c r="D45" s="47" t="s">
        <v>619</v>
      </c>
      <c r="E45" s="108"/>
      <c r="F45" s="246"/>
      <c r="G45" s="246"/>
      <c r="H45" s="246">
        <v>0.03</v>
      </c>
      <c r="I45" s="250">
        <v>1</v>
      </c>
      <c r="J45" s="108"/>
      <c r="K45" s="108"/>
      <c r="L45" s="108">
        <f>ROUND(E36*H45*I45,4)</f>
        <v>0.3391</v>
      </c>
      <c r="S45" s="14">
        <v>307</v>
      </c>
    </row>
    <row r="46" ht="17.25" customHeight="1" spans="1:16">
      <c r="A46" s="241"/>
      <c r="B46" s="47" t="s">
        <v>790</v>
      </c>
      <c r="C46" s="104" t="s">
        <v>791</v>
      </c>
      <c r="D46" s="47" t="s">
        <v>792</v>
      </c>
      <c r="E46" s="108"/>
      <c r="F46" s="246"/>
      <c r="G46" s="246"/>
      <c r="H46" s="246">
        <v>5</v>
      </c>
      <c r="I46" s="250"/>
      <c r="J46" s="108"/>
      <c r="K46" s="108"/>
      <c r="L46" s="108"/>
      <c r="N46" s="14">
        <v>12367</v>
      </c>
      <c r="P46" s="14">
        <v>12634</v>
      </c>
    </row>
    <row r="47" ht="55.5" customHeight="1" spans="1:12">
      <c r="A47" s="236">
        <v>9</v>
      </c>
      <c r="B47" s="237" t="s">
        <v>93</v>
      </c>
      <c r="C47" s="238" t="s">
        <v>95</v>
      </c>
      <c r="D47" s="237" t="s">
        <v>55</v>
      </c>
      <c r="E47" s="239">
        <v>2.3606</v>
      </c>
      <c r="F47" s="240"/>
      <c r="G47" s="240"/>
      <c r="H47" s="240"/>
      <c r="I47" s="248"/>
      <c r="J47" s="239"/>
      <c r="K47" s="239"/>
      <c r="L47" s="239"/>
    </row>
    <row r="48" ht="17.25" customHeight="1" spans="1:12">
      <c r="A48" s="241"/>
      <c r="B48" s="47"/>
      <c r="C48" s="242" t="s">
        <v>789</v>
      </c>
      <c r="D48" s="243"/>
      <c r="E48" s="244"/>
      <c r="F48" s="245"/>
      <c r="G48" s="245"/>
      <c r="H48" s="245"/>
      <c r="I48" s="249"/>
      <c r="J48" s="244"/>
      <c r="K48" s="244"/>
      <c r="L48" s="244"/>
    </row>
    <row r="49" ht="17.25" customHeight="1" spans="1:19">
      <c r="A49" s="241"/>
      <c r="B49" s="47" t="s">
        <v>587</v>
      </c>
      <c r="C49" s="104" t="s">
        <v>588</v>
      </c>
      <c r="D49" s="47" t="s">
        <v>518</v>
      </c>
      <c r="E49" s="108"/>
      <c r="F49" s="246">
        <v>200.85</v>
      </c>
      <c r="G49" s="246"/>
      <c r="H49" s="246"/>
      <c r="I49" s="250">
        <v>1</v>
      </c>
      <c r="J49" s="108">
        <f>ROUND(E47*F49*I49,4)</f>
        <v>474.1265</v>
      </c>
      <c r="K49" s="108"/>
      <c r="L49" s="108"/>
      <c r="S49" s="14">
        <v>1023</v>
      </c>
    </row>
    <row r="50" ht="17.25" customHeight="1" spans="1:19">
      <c r="A50" s="241"/>
      <c r="B50" s="47" t="s">
        <v>513</v>
      </c>
      <c r="C50" s="104" t="s">
        <v>514</v>
      </c>
      <c r="D50" s="47" t="s">
        <v>55</v>
      </c>
      <c r="E50" s="108"/>
      <c r="F50" s="246">
        <v>0.53148</v>
      </c>
      <c r="G50" s="246"/>
      <c r="H50" s="246"/>
      <c r="I50" s="250">
        <v>1</v>
      </c>
      <c r="J50" s="108">
        <f>ROUND(E47*F50*I50,4)</f>
        <v>1.2546</v>
      </c>
      <c r="K50" s="108"/>
      <c r="L50" s="108"/>
      <c r="S50" s="14">
        <v>102</v>
      </c>
    </row>
    <row r="51" ht="17.25" customHeight="1" spans="1:19">
      <c r="A51" s="241"/>
      <c r="B51" s="47" t="s">
        <v>530</v>
      </c>
      <c r="C51" s="104" t="s">
        <v>531</v>
      </c>
      <c r="D51" s="47" t="s">
        <v>55</v>
      </c>
      <c r="E51" s="108"/>
      <c r="F51" s="246">
        <v>0.93627</v>
      </c>
      <c r="G51" s="246"/>
      <c r="H51" s="246"/>
      <c r="I51" s="250">
        <v>1</v>
      </c>
      <c r="J51" s="108">
        <f>ROUND(E47*F51*I51,4)</f>
        <v>2.2102</v>
      </c>
      <c r="K51" s="108"/>
      <c r="L51" s="108"/>
      <c r="S51" s="14">
        <v>106</v>
      </c>
    </row>
    <row r="52" ht="17.25" customHeight="1" spans="1:19">
      <c r="A52" s="241"/>
      <c r="B52" s="47" t="s">
        <v>565</v>
      </c>
      <c r="C52" s="104" t="s">
        <v>566</v>
      </c>
      <c r="D52" s="47" t="s">
        <v>567</v>
      </c>
      <c r="E52" s="108"/>
      <c r="F52" s="246">
        <v>169.95</v>
      </c>
      <c r="G52" s="246"/>
      <c r="H52" s="246"/>
      <c r="I52" s="250">
        <v>1</v>
      </c>
      <c r="J52" s="108">
        <f>ROUND(E47*F52*I52,4)</f>
        <v>401.184</v>
      </c>
      <c r="K52" s="108"/>
      <c r="L52" s="108"/>
      <c r="S52" s="14">
        <v>1016</v>
      </c>
    </row>
    <row r="53" ht="17.25" customHeight="1" spans="1:12">
      <c r="A53" s="241"/>
      <c r="B53" s="47"/>
      <c r="C53" s="242" t="s">
        <v>787</v>
      </c>
      <c r="D53" s="243"/>
      <c r="E53" s="244"/>
      <c r="F53" s="245"/>
      <c r="G53" s="245"/>
      <c r="H53" s="245"/>
      <c r="I53" s="249"/>
      <c r="J53" s="244"/>
      <c r="K53" s="244"/>
      <c r="L53" s="244"/>
    </row>
    <row r="54" ht="17.25" customHeight="1" spans="1:19">
      <c r="A54" s="241"/>
      <c r="B54" s="47" t="s">
        <v>592</v>
      </c>
      <c r="C54" s="104" t="s">
        <v>593</v>
      </c>
      <c r="D54" s="47" t="s">
        <v>594</v>
      </c>
      <c r="E54" s="108"/>
      <c r="F54" s="246"/>
      <c r="G54" s="246">
        <v>1.42</v>
      </c>
      <c r="H54" s="246"/>
      <c r="I54" s="250">
        <v>1</v>
      </c>
      <c r="J54" s="108"/>
      <c r="K54" s="108">
        <f>ROUND(E47*G54*I54,4)</f>
        <v>3.3521</v>
      </c>
      <c r="L54" s="108"/>
      <c r="S54" s="14">
        <v>200</v>
      </c>
    </row>
    <row r="55" ht="17.25" customHeight="1" spans="1:12">
      <c r="A55" s="241"/>
      <c r="B55" s="47"/>
      <c r="C55" s="242" t="s">
        <v>788</v>
      </c>
      <c r="D55" s="243"/>
      <c r="E55" s="244"/>
      <c r="F55" s="245"/>
      <c r="G55" s="245"/>
      <c r="H55" s="245"/>
      <c r="I55" s="249"/>
      <c r="J55" s="244"/>
      <c r="K55" s="244"/>
      <c r="L55" s="244"/>
    </row>
    <row r="56" ht="17.25" customHeight="1" spans="1:19">
      <c r="A56" s="241"/>
      <c r="B56" s="47" t="s">
        <v>642</v>
      </c>
      <c r="C56" s="104" t="s">
        <v>643</v>
      </c>
      <c r="D56" s="47" t="s">
        <v>612</v>
      </c>
      <c r="E56" s="108"/>
      <c r="F56" s="246"/>
      <c r="G56" s="246"/>
      <c r="H56" s="246">
        <v>0.095</v>
      </c>
      <c r="I56" s="250">
        <v>1</v>
      </c>
      <c r="J56" s="108"/>
      <c r="K56" s="108"/>
      <c r="L56" s="108">
        <f>ROUND(E47*H56*I56,4)</f>
        <v>0.2243</v>
      </c>
      <c r="S56" s="14">
        <v>308</v>
      </c>
    </row>
    <row r="57" ht="17.25" customHeight="1" spans="1:19">
      <c r="A57" s="241"/>
      <c r="B57" s="47" t="s">
        <v>627</v>
      </c>
      <c r="C57" s="104" t="s">
        <v>628</v>
      </c>
      <c r="D57" s="47" t="s">
        <v>612</v>
      </c>
      <c r="E57" s="108"/>
      <c r="F57" s="246"/>
      <c r="G57" s="246"/>
      <c r="H57" s="246">
        <v>0.089</v>
      </c>
      <c r="I57" s="250">
        <v>1</v>
      </c>
      <c r="J57" s="108"/>
      <c r="K57" s="108"/>
      <c r="L57" s="108">
        <f>ROUND(E47*H57*I57,4)</f>
        <v>0.2101</v>
      </c>
      <c r="S57" s="14">
        <v>303</v>
      </c>
    </row>
    <row r="58" ht="42.75" customHeight="1" spans="1:12">
      <c r="A58" s="236">
        <v>10</v>
      </c>
      <c r="B58" s="237" t="s">
        <v>105</v>
      </c>
      <c r="C58" s="238" t="s">
        <v>106</v>
      </c>
      <c r="D58" s="237" t="s">
        <v>107</v>
      </c>
      <c r="E58" s="239">
        <v>0.2869</v>
      </c>
      <c r="F58" s="240"/>
      <c r="G58" s="240"/>
      <c r="H58" s="240"/>
      <c r="I58" s="248"/>
      <c r="J58" s="239"/>
      <c r="K58" s="239"/>
      <c r="L58" s="239"/>
    </row>
    <row r="59" ht="17.25" customHeight="1" spans="1:12">
      <c r="A59" s="241"/>
      <c r="B59" s="47"/>
      <c r="C59" s="242" t="s">
        <v>789</v>
      </c>
      <c r="D59" s="243"/>
      <c r="E59" s="244"/>
      <c r="F59" s="245"/>
      <c r="G59" s="245"/>
      <c r="H59" s="245"/>
      <c r="I59" s="249"/>
      <c r="J59" s="244"/>
      <c r="K59" s="244"/>
      <c r="L59" s="244"/>
    </row>
    <row r="60" ht="17.25" customHeight="1" spans="1:19">
      <c r="A60" s="241"/>
      <c r="B60" s="47" t="s">
        <v>554</v>
      </c>
      <c r="C60" s="104" t="s">
        <v>555</v>
      </c>
      <c r="D60" s="47" t="s">
        <v>55</v>
      </c>
      <c r="E60" s="108"/>
      <c r="F60" s="246">
        <v>0.792</v>
      </c>
      <c r="G60" s="246"/>
      <c r="H60" s="246"/>
      <c r="I60" s="250">
        <v>1</v>
      </c>
      <c r="J60" s="108">
        <f>ROUND(E58*F60*I60,4)</f>
        <v>0.2272</v>
      </c>
      <c r="K60" s="108"/>
      <c r="L60" s="108"/>
      <c r="Q60" s="14">
        <v>0</v>
      </c>
      <c r="R60" s="14">
        <v>0</v>
      </c>
      <c r="S60" s="14">
        <v>1013</v>
      </c>
    </row>
    <row r="61" ht="17.25" customHeight="1" spans="1:19">
      <c r="A61" s="241"/>
      <c r="B61" s="47" t="s">
        <v>549</v>
      </c>
      <c r="C61" s="104" t="s">
        <v>550</v>
      </c>
      <c r="D61" s="47" t="s">
        <v>55</v>
      </c>
      <c r="E61" s="108"/>
      <c r="F61" s="246">
        <v>0.0865</v>
      </c>
      <c r="G61" s="246"/>
      <c r="H61" s="246"/>
      <c r="I61" s="250">
        <v>1</v>
      </c>
      <c r="J61" s="108">
        <f>ROUND(E58*F61*I61,4)</f>
        <v>0.0248</v>
      </c>
      <c r="K61" s="108"/>
      <c r="L61" s="108"/>
      <c r="Q61" s="14">
        <v>0</v>
      </c>
      <c r="R61" s="14">
        <v>0</v>
      </c>
      <c r="S61" s="14">
        <v>1012</v>
      </c>
    </row>
    <row r="62" ht="17.25" customHeight="1" spans="1:19">
      <c r="A62" s="241"/>
      <c r="B62" s="47" t="s">
        <v>546</v>
      </c>
      <c r="C62" s="104" t="s">
        <v>547</v>
      </c>
      <c r="D62" s="47" t="s">
        <v>55</v>
      </c>
      <c r="E62" s="108"/>
      <c r="F62" s="246">
        <v>0.459</v>
      </c>
      <c r="G62" s="246"/>
      <c r="H62" s="246"/>
      <c r="I62" s="250">
        <v>1</v>
      </c>
      <c r="J62" s="108">
        <f>ROUND(E58*F62*I62,4)</f>
        <v>0.1317</v>
      </c>
      <c r="K62" s="108"/>
      <c r="L62" s="108"/>
      <c r="Q62" s="14">
        <v>0</v>
      </c>
      <c r="R62" s="14">
        <v>0</v>
      </c>
      <c r="S62" s="14">
        <v>1011</v>
      </c>
    </row>
    <row r="63" ht="17.25" customHeight="1" spans="1:19">
      <c r="A63" s="241"/>
      <c r="B63" s="47" t="s">
        <v>536</v>
      </c>
      <c r="C63" s="104" t="s">
        <v>537</v>
      </c>
      <c r="D63" s="47" t="s">
        <v>518</v>
      </c>
      <c r="E63" s="108"/>
      <c r="F63" s="246">
        <v>12</v>
      </c>
      <c r="G63" s="246"/>
      <c r="H63" s="246"/>
      <c r="I63" s="250">
        <v>1</v>
      </c>
      <c r="J63" s="108">
        <f>ROUND(E58*F63*I63,4)</f>
        <v>3.4428</v>
      </c>
      <c r="K63" s="108"/>
      <c r="L63" s="108"/>
      <c r="Q63" s="14">
        <v>0</v>
      </c>
      <c r="R63" s="14">
        <v>0</v>
      </c>
      <c r="S63" s="14">
        <v>108</v>
      </c>
    </row>
    <row r="64" ht="17.25" customHeight="1" spans="1:15">
      <c r="A64" s="241"/>
      <c r="B64" s="47" t="s">
        <v>793</v>
      </c>
      <c r="C64" s="104" t="s">
        <v>794</v>
      </c>
      <c r="D64" s="47" t="s">
        <v>792</v>
      </c>
      <c r="E64" s="108"/>
      <c r="F64" s="246">
        <v>1</v>
      </c>
      <c r="G64" s="246"/>
      <c r="H64" s="246"/>
      <c r="I64" s="250"/>
      <c r="J64" s="108"/>
      <c r="K64" s="108"/>
      <c r="L64" s="108"/>
      <c r="M64" s="14">
        <v>8329</v>
      </c>
      <c r="O64" s="14">
        <v>8363</v>
      </c>
    </row>
    <row r="65" ht="17.25" customHeight="1" spans="1:12">
      <c r="A65" s="241"/>
      <c r="B65" s="47"/>
      <c r="C65" s="242" t="s">
        <v>787</v>
      </c>
      <c r="D65" s="243"/>
      <c r="E65" s="244"/>
      <c r="F65" s="245"/>
      <c r="G65" s="245"/>
      <c r="H65" s="245"/>
      <c r="I65" s="249"/>
      <c r="J65" s="244"/>
      <c r="K65" s="244"/>
      <c r="L65" s="244"/>
    </row>
    <row r="66" ht="17.25" customHeight="1" spans="1:19">
      <c r="A66" s="241"/>
      <c r="B66" s="47" t="s">
        <v>596</v>
      </c>
      <c r="C66" s="104" t="s">
        <v>597</v>
      </c>
      <c r="D66" s="47" t="s">
        <v>594</v>
      </c>
      <c r="E66" s="108"/>
      <c r="F66" s="246"/>
      <c r="G66" s="246">
        <v>13.61</v>
      </c>
      <c r="H66" s="246"/>
      <c r="I66" s="250">
        <v>1</v>
      </c>
      <c r="J66" s="108"/>
      <c r="K66" s="108">
        <f>ROUND(E58*G66*I66,4)</f>
        <v>3.9047</v>
      </c>
      <c r="L66" s="108"/>
      <c r="S66" s="14">
        <v>201</v>
      </c>
    </row>
    <row r="67" ht="42.75" customHeight="1" spans="1:12">
      <c r="A67" s="236">
        <v>11</v>
      </c>
      <c r="B67" s="237" t="s">
        <v>112</v>
      </c>
      <c r="C67" s="238" t="s">
        <v>113</v>
      </c>
      <c r="D67" s="237" t="s">
        <v>114</v>
      </c>
      <c r="E67" s="239">
        <v>0.3328</v>
      </c>
      <c r="F67" s="240"/>
      <c r="G67" s="240"/>
      <c r="H67" s="240"/>
      <c r="I67" s="248"/>
      <c r="J67" s="239"/>
      <c r="K67" s="239"/>
      <c r="L67" s="239"/>
    </row>
    <row r="68" ht="17.25" customHeight="1" spans="1:12">
      <c r="A68" s="241"/>
      <c r="B68" s="47"/>
      <c r="C68" s="242" t="s">
        <v>789</v>
      </c>
      <c r="D68" s="243"/>
      <c r="E68" s="244"/>
      <c r="F68" s="245"/>
      <c r="G68" s="245"/>
      <c r="H68" s="245"/>
      <c r="I68" s="249"/>
      <c r="J68" s="244"/>
      <c r="K68" s="244"/>
      <c r="L68" s="244"/>
    </row>
    <row r="69" ht="17.25" customHeight="1" spans="1:19">
      <c r="A69" s="241"/>
      <c r="B69" s="47" t="s">
        <v>572</v>
      </c>
      <c r="C69" s="104" t="s">
        <v>573</v>
      </c>
      <c r="D69" s="47" t="s">
        <v>518</v>
      </c>
      <c r="E69" s="108"/>
      <c r="F69" s="246">
        <v>1005</v>
      </c>
      <c r="G69" s="246"/>
      <c r="H69" s="246"/>
      <c r="I69" s="250">
        <v>1</v>
      </c>
      <c r="J69" s="108">
        <f>ROUND(E67*F69*I69,4)</f>
        <v>334.464</v>
      </c>
      <c r="K69" s="108"/>
      <c r="L69" s="108"/>
      <c r="S69" s="14">
        <v>1018</v>
      </c>
    </row>
    <row r="70" ht="17.25" customHeight="1" spans="1:19">
      <c r="A70" s="241"/>
      <c r="B70" s="47" t="s">
        <v>521</v>
      </c>
      <c r="C70" s="104" t="s">
        <v>522</v>
      </c>
      <c r="D70" s="47" t="s">
        <v>518</v>
      </c>
      <c r="E70" s="108"/>
      <c r="F70" s="246">
        <v>21.42</v>
      </c>
      <c r="G70" s="246"/>
      <c r="H70" s="246"/>
      <c r="I70" s="250">
        <v>1</v>
      </c>
      <c r="J70" s="108">
        <f>ROUND(E67*F70*I70,4)</f>
        <v>7.1286</v>
      </c>
      <c r="K70" s="108"/>
      <c r="L70" s="108"/>
      <c r="S70" s="14">
        <v>103</v>
      </c>
    </row>
    <row r="71" ht="17.25" customHeight="1" spans="1:12">
      <c r="A71" s="241"/>
      <c r="B71" s="47"/>
      <c r="C71" s="242" t="s">
        <v>787</v>
      </c>
      <c r="D71" s="243"/>
      <c r="E71" s="244"/>
      <c r="F71" s="245"/>
      <c r="G71" s="245"/>
      <c r="H71" s="245"/>
      <c r="I71" s="249"/>
      <c r="J71" s="244"/>
      <c r="K71" s="244"/>
      <c r="L71" s="244"/>
    </row>
    <row r="72" ht="17.25" customHeight="1" spans="1:19">
      <c r="A72" s="241"/>
      <c r="B72" s="47" t="s">
        <v>596</v>
      </c>
      <c r="C72" s="104" t="s">
        <v>597</v>
      </c>
      <c r="D72" s="47" t="s">
        <v>594</v>
      </c>
      <c r="E72" s="108"/>
      <c r="F72" s="246"/>
      <c r="G72" s="246">
        <v>11.32</v>
      </c>
      <c r="H72" s="246"/>
      <c r="I72" s="250">
        <v>1</v>
      </c>
      <c r="J72" s="108"/>
      <c r="K72" s="108">
        <f>ROUND(E67*G72*I72,4)</f>
        <v>3.7673</v>
      </c>
      <c r="L72" s="108"/>
      <c r="S72" s="14">
        <v>201</v>
      </c>
    </row>
    <row r="73" ht="17.25" customHeight="1" spans="1:12">
      <c r="A73" s="241"/>
      <c r="B73" s="47"/>
      <c r="C73" s="242" t="s">
        <v>788</v>
      </c>
      <c r="D73" s="243"/>
      <c r="E73" s="244"/>
      <c r="F73" s="245"/>
      <c r="G73" s="245"/>
      <c r="H73" s="245"/>
      <c r="I73" s="249"/>
      <c r="J73" s="244"/>
      <c r="K73" s="244"/>
      <c r="L73" s="244"/>
    </row>
    <row r="74" ht="17.25" customHeight="1" spans="1:19">
      <c r="A74" s="241"/>
      <c r="B74" s="47" t="s">
        <v>621</v>
      </c>
      <c r="C74" s="104" t="s">
        <v>622</v>
      </c>
      <c r="D74" s="47" t="s">
        <v>612</v>
      </c>
      <c r="E74" s="108"/>
      <c r="F74" s="246"/>
      <c r="G74" s="246"/>
      <c r="H74" s="246">
        <v>0.4</v>
      </c>
      <c r="I74" s="250">
        <v>1</v>
      </c>
      <c r="J74" s="108"/>
      <c r="K74" s="108"/>
      <c r="L74" s="108">
        <f>ROUND(E67*H74*I74,4)</f>
        <v>0.1331</v>
      </c>
      <c r="S74" s="14">
        <v>301</v>
      </c>
    </row>
    <row r="75" ht="42.75" customHeight="1" spans="1:12">
      <c r="A75" s="236">
        <v>12</v>
      </c>
      <c r="B75" s="237" t="s">
        <v>122</v>
      </c>
      <c r="C75" s="238" t="s">
        <v>123</v>
      </c>
      <c r="D75" s="237" t="s">
        <v>114</v>
      </c>
      <c r="E75" s="239">
        <v>0.0559</v>
      </c>
      <c r="F75" s="240"/>
      <c r="G75" s="240"/>
      <c r="H75" s="240"/>
      <c r="I75" s="248"/>
      <c r="J75" s="239"/>
      <c r="K75" s="239"/>
      <c r="L75" s="239"/>
    </row>
    <row r="76" ht="17.25" customHeight="1" spans="1:12">
      <c r="A76" s="241"/>
      <c r="B76" s="47"/>
      <c r="C76" s="242" t="s">
        <v>789</v>
      </c>
      <c r="D76" s="243"/>
      <c r="E76" s="244"/>
      <c r="F76" s="245"/>
      <c r="G76" s="245"/>
      <c r="H76" s="245"/>
      <c r="I76" s="249"/>
      <c r="J76" s="244"/>
      <c r="K76" s="244"/>
      <c r="L76" s="244"/>
    </row>
    <row r="77" ht="17.25" customHeight="1" spans="1:19">
      <c r="A77" s="241"/>
      <c r="B77" s="47" t="s">
        <v>575</v>
      </c>
      <c r="C77" s="104" t="s">
        <v>576</v>
      </c>
      <c r="D77" s="47" t="s">
        <v>518</v>
      </c>
      <c r="E77" s="108"/>
      <c r="F77" s="246">
        <v>1020</v>
      </c>
      <c r="G77" s="246"/>
      <c r="H77" s="246"/>
      <c r="I77" s="250">
        <v>1</v>
      </c>
      <c r="J77" s="108">
        <f>ROUND(E75*F77*I77,4)</f>
        <v>57.018</v>
      </c>
      <c r="K77" s="108"/>
      <c r="L77" s="108"/>
      <c r="S77" s="14">
        <v>1019</v>
      </c>
    </row>
    <row r="78" ht="17.25" customHeight="1" spans="1:19">
      <c r="A78" s="241"/>
      <c r="B78" s="47" t="s">
        <v>521</v>
      </c>
      <c r="C78" s="104" t="s">
        <v>522</v>
      </c>
      <c r="D78" s="47" t="s">
        <v>518</v>
      </c>
      <c r="E78" s="108"/>
      <c r="F78" s="246">
        <v>14.28</v>
      </c>
      <c r="G78" s="246"/>
      <c r="H78" s="246"/>
      <c r="I78" s="250">
        <v>1</v>
      </c>
      <c r="J78" s="108">
        <f>ROUND(E75*F78*I78,4)</f>
        <v>0.7983</v>
      </c>
      <c r="K78" s="108"/>
      <c r="L78" s="108"/>
      <c r="S78" s="14">
        <v>103</v>
      </c>
    </row>
    <row r="79" ht="17.25" customHeight="1" spans="1:19">
      <c r="A79" s="241"/>
      <c r="B79" s="47" t="s">
        <v>569</v>
      </c>
      <c r="C79" s="104" t="s">
        <v>570</v>
      </c>
      <c r="D79" s="47" t="s">
        <v>518</v>
      </c>
      <c r="E79" s="108"/>
      <c r="F79" s="246">
        <v>4.64</v>
      </c>
      <c r="G79" s="246"/>
      <c r="H79" s="246"/>
      <c r="I79" s="250">
        <v>1</v>
      </c>
      <c r="J79" s="108">
        <f>ROUND(E75*F79*I79,4)</f>
        <v>0.2594</v>
      </c>
      <c r="K79" s="108"/>
      <c r="L79" s="108"/>
      <c r="S79" s="14">
        <v>1017</v>
      </c>
    </row>
    <row r="80" ht="17.25" customHeight="1" spans="1:12">
      <c r="A80" s="241"/>
      <c r="B80" s="47"/>
      <c r="C80" s="242" t="s">
        <v>787</v>
      </c>
      <c r="D80" s="243"/>
      <c r="E80" s="244"/>
      <c r="F80" s="245"/>
      <c r="G80" s="245"/>
      <c r="H80" s="245"/>
      <c r="I80" s="249"/>
      <c r="J80" s="244"/>
      <c r="K80" s="244"/>
      <c r="L80" s="244"/>
    </row>
    <row r="81" ht="17.25" customHeight="1" spans="1:19">
      <c r="A81" s="241"/>
      <c r="B81" s="47" t="s">
        <v>596</v>
      </c>
      <c r="C81" s="104" t="s">
        <v>597</v>
      </c>
      <c r="D81" s="47" t="s">
        <v>594</v>
      </c>
      <c r="E81" s="108"/>
      <c r="F81" s="246"/>
      <c r="G81" s="246">
        <v>8.34</v>
      </c>
      <c r="H81" s="246"/>
      <c r="I81" s="250">
        <v>1</v>
      </c>
      <c r="J81" s="108"/>
      <c r="K81" s="108">
        <f>ROUND(E75*G81*I81,4)</f>
        <v>0.4662</v>
      </c>
      <c r="L81" s="108"/>
      <c r="S81" s="14">
        <v>201</v>
      </c>
    </row>
    <row r="82" ht="17.25" customHeight="1" spans="1:12">
      <c r="A82" s="241"/>
      <c r="B82" s="47"/>
      <c r="C82" s="242" t="s">
        <v>788</v>
      </c>
      <c r="D82" s="243"/>
      <c r="E82" s="244"/>
      <c r="F82" s="245"/>
      <c r="G82" s="245"/>
      <c r="H82" s="245"/>
      <c r="I82" s="249"/>
      <c r="J82" s="244"/>
      <c r="K82" s="244"/>
      <c r="L82" s="244"/>
    </row>
    <row r="83" ht="17.25" customHeight="1" spans="1:19">
      <c r="A83" s="241"/>
      <c r="B83" s="47" t="s">
        <v>636</v>
      </c>
      <c r="C83" s="104" t="s">
        <v>637</v>
      </c>
      <c r="D83" s="47" t="s">
        <v>612</v>
      </c>
      <c r="E83" s="108"/>
      <c r="F83" s="246"/>
      <c r="G83" s="246"/>
      <c r="H83" s="246">
        <v>1.12</v>
      </c>
      <c r="I83" s="250">
        <v>1</v>
      </c>
      <c r="J83" s="108"/>
      <c r="K83" s="108"/>
      <c r="L83" s="108">
        <f>ROUND(E75*H83*I83,4)</f>
        <v>0.0626</v>
      </c>
      <c r="S83" s="14">
        <v>306</v>
      </c>
    </row>
    <row r="84" ht="17.25" customHeight="1" spans="1:19">
      <c r="A84" s="241"/>
      <c r="B84" s="47" t="s">
        <v>621</v>
      </c>
      <c r="C84" s="104" t="s">
        <v>622</v>
      </c>
      <c r="D84" s="47" t="s">
        <v>612</v>
      </c>
      <c r="E84" s="108"/>
      <c r="F84" s="246"/>
      <c r="G84" s="246"/>
      <c r="H84" s="246">
        <v>0.32</v>
      </c>
      <c r="I84" s="250">
        <v>1</v>
      </c>
      <c r="J84" s="108"/>
      <c r="K84" s="108"/>
      <c r="L84" s="108">
        <f>ROUND(E75*H84*I84,4)</f>
        <v>0.0179</v>
      </c>
      <c r="S84" s="14">
        <v>301</v>
      </c>
    </row>
    <row r="85" ht="42.75" customHeight="1" spans="1:12">
      <c r="A85" s="236">
        <v>13</v>
      </c>
      <c r="B85" s="237" t="s">
        <v>105</v>
      </c>
      <c r="C85" s="238" t="s">
        <v>128</v>
      </c>
      <c r="D85" s="237" t="s">
        <v>107</v>
      </c>
      <c r="E85" s="239">
        <v>0.4582</v>
      </c>
      <c r="F85" s="240"/>
      <c r="G85" s="240"/>
      <c r="H85" s="240"/>
      <c r="I85" s="248"/>
      <c r="J85" s="239"/>
      <c r="K85" s="239"/>
      <c r="L85" s="239"/>
    </row>
    <row r="86" ht="17.25" customHeight="1" spans="1:12">
      <c r="A86" s="241"/>
      <c r="B86" s="47"/>
      <c r="C86" s="242" t="s">
        <v>789</v>
      </c>
      <c r="D86" s="243"/>
      <c r="E86" s="244"/>
      <c r="F86" s="245"/>
      <c r="G86" s="245"/>
      <c r="H86" s="245"/>
      <c r="I86" s="249"/>
      <c r="J86" s="244"/>
      <c r="K86" s="244"/>
      <c r="L86" s="244"/>
    </row>
    <row r="87" ht="17.25" customHeight="1" spans="1:19">
      <c r="A87" s="241"/>
      <c r="B87" s="47" t="s">
        <v>554</v>
      </c>
      <c r="C87" s="104" t="s">
        <v>555</v>
      </c>
      <c r="D87" s="47" t="s">
        <v>55</v>
      </c>
      <c r="E87" s="108"/>
      <c r="F87" s="246">
        <v>0.792</v>
      </c>
      <c r="G87" s="246"/>
      <c r="H87" s="246"/>
      <c r="I87" s="250">
        <v>1</v>
      </c>
      <c r="J87" s="108">
        <f>ROUND(E85*F87*I87,4)</f>
        <v>0.3629</v>
      </c>
      <c r="K87" s="108"/>
      <c r="L87" s="108"/>
      <c r="Q87" s="14">
        <v>0</v>
      </c>
      <c r="R87" s="14">
        <v>0</v>
      </c>
      <c r="S87" s="14">
        <v>1013</v>
      </c>
    </row>
    <row r="88" ht="17.25" customHeight="1" spans="1:19">
      <c r="A88" s="241"/>
      <c r="B88" s="47" t="s">
        <v>549</v>
      </c>
      <c r="C88" s="104" t="s">
        <v>550</v>
      </c>
      <c r="D88" s="47" t="s">
        <v>55</v>
      </c>
      <c r="E88" s="108"/>
      <c r="F88" s="246">
        <v>0.0865</v>
      </c>
      <c r="G88" s="246"/>
      <c r="H88" s="246"/>
      <c r="I88" s="250">
        <v>1</v>
      </c>
      <c r="J88" s="108">
        <f>ROUND(E85*F88*I88,4)</f>
        <v>0.0396</v>
      </c>
      <c r="K88" s="108"/>
      <c r="L88" s="108"/>
      <c r="Q88" s="14">
        <v>0</v>
      </c>
      <c r="R88" s="14">
        <v>0</v>
      </c>
      <c r="S88" s="14">
        <v>1012</v>
      </c>
    </row>
    <row r="89" ht="17.25" customHeight="1" spans="1:19">
      <c r="A89" s="241"/>
      <c r="B89" s="47" t="s">
        <v>546</v>
      </c>
      <c r="C89" s="104" t="s">
        <v>547</v>
      </c>
      <c r="D89" s="47" t="s">
        <v>55</v>
      </c>
      <c r="E89" s="108"/>
      <c r="F89" s="246">
        <v>0.459</v>
      </c>
      <c r="G89" s="246"/>
      <c r="H89" s="246"/>
      <c r="I89" s="250">
        <v>1</v>
      </c>
      <c r="J89" s="108">
        <f>ROUND(E85*F89*I89,4)</f>
        <v>0.2103</v>
      </c>
      <c r="K89" s="108"/>
      <c r="L89" s="108"/>
      <c r="Q89" s="14">
        <v>0</v>
      </c>
      <c r="R89" s="14">
        <v>0</v>
      </c>
      <c r="S89" s="14">
        <v>1011</v>
      </c>
    </row>
    <row r="90" ht="17.25" customHeight="1" spans="1:19">
      <c r="A90" s="241"/>
      <c r="B90" s="47" t="s">
        <v>536</v>
      </c>
      <c r="C90" s="104" t="s">
        <v>537</v>
      </c>
      <c r="D90" s="47" t="s">
        <v>518</v>
      </c>
      <c r="E90" s="108"/>
      <c r="F90" s="246">
        <v>12</v>
      </c>
      <c r="G90" s="246"/>
      <c r="H90" s="246"/>
      <c r="I90" s="250">
        <v>1</v>
      </c>
      <c r="J90" s="108">
        <f>ROUND(E85*F90*I90,4)</f>
        <v>5.4984</v>
      </c>
      <c r="K90" s="108"/>
      <c r="L90" s="108"/>
      <c r="Q90" s="14">
        <v>0</v>
      </c>
      <c r="R90" s="14">
        <v>0</v>
      </c>
      <c r="S90" s="14">
        <v>108</v>
      </c>
    </row>
    <row r="91" ht="17.25" customHeight="1" spans="1:15">
      <c r="A91" s="241"/>
      <c r="B91" s="47" t="s">
        <v>793</v>
      </c>
      <c r="C91" s="104" t="s">
        <v>794</v>
      </c>
      <c r="D91" s="47" t="s">
        <v>792</v>
      </c>
      <c r="E91" s="108"/>
      <c r="F91" s="246">
        <v>1</v>
      </c>
      <c r="G91" s="246"/>
      <c r="H91" s="246"/>
      <c r="I91" s="250"/>
      <c r="J91" s="108"/>
      <c r="K91" s="108"/>
      <c r="L91" s="108"/>
      <c r="M91" s="14">
        <v>13302</v>
      </c>
      <c r="O91" s="14">
        <v>13357</v>
      </c>
    </row>
    <row r="92" ht="17.25" customHeight="1" spans="1:12">
      <c r="A92" s="241"/>
      <c r="B92" s="47"/>
      <c r="C92" s="242" t="s">
        <v>787</v>
      </c>
      <c r="D92" s="243"/>
      <c r="E92" s="244"/>
      <c r="F92" s="245"/>
      <c r="G92" s="245"/>
      <c r="H92" s="245"/>
      <c r="I92" s="249"/>
      <c r="J92" s="244"/>
      <c r="K92" s="244"/>
      <c r="L92" s="244"/>
    </row>
    <row r="93" ht="17.25" customHeight="1" spans="1:19">
      <c r="A93" s="241"/>
      <c r="B93" s="47" t="s">
        <v>596</v>
      </c>
      <c r="C93" s="104" t="s">
        <v>597</v>
      </c>
      <c r="D93" s="47" t="s">
        <v>594</v>
      </c>
      <c r="E93" s="108"/>
      <c r="F93" s="246"/>
      <c r="G93" s="246">
        <v>13.61</v>
      </c>
      <c r="H93" s="246"/>
      <c r="I93" s="250">
        <v>1</v>
      </c>
      <c r="J93" s="108"/>
      <c r="K93" s="108">
        <f>ROUND(E85*G93*I93,4)</f>
        <v>6.2361</v>
      </c>
      <c r="L93" s="108"/>
      <c r="S93" s="14">
        <v>201</v>
      </c>
    </row>
    <row r="94" ht="55.5" customHeight="1" spans="1:12">
      <c r="A94" s="236">
        <v>14</v>
      </c>
      <c r="B94" s="237" t="s">
        <v>112</v>
      </c>
      <c r="C94" s="238" t="s">
        <v>133</v>
      </c>
      <c r="D94" s="237" t="s">
        <v>114</v>
      </c>
      <c r="E94" s="239">
        <v>0.254</v>
      </c>
      <c r="F94" s="240"/>
      <c r="G94" s="240"/>
      <c r="H94" s="240"/>
      <c r="I94" s="248"/>
      <c r="J94" s="239"/>
      <c r="K94" s="239"/>
      <c r="L94" s="239"/>
    </row>
    <row r="95" ht="17.25" customHeight="1" spans="1:12">
      <c r="A95" s="241"/>
      <c r="B95" s="47"/>
      <c r="C95" s="242" t="s">
        <v>789</v>
      </c>
      <c r="D95" s="243"/>
      <c r="E95" s="244"/>
      <c r="F95" s="245"/>
      <c r="G95" s="245"/>
      <c r="H95" s="245"/>
      <c r="I95" s="249"/>
      <c r="J95" s="244"/>
      <c r="K95" s="244"/>
      <c r="L95" s="244"/>
    </row>
    <row r="96" ht="17.25" customHeight="1" spans="1:19">
      <c r="A96" s="241"/>
      <c r="B96" s="47" t="s">
        <v>572</v>
      </c>
      <c r="C96" s="104" t="s">
        <v>573</v>
      </c>
      <c r="D96" s="47" t="s">
        <v>518</v>
      </c>
      <c r="E96" s="108"/>
      <c r="F96" s="246">
        <v>1005</v>
      </c>
      <c r="G96" s="246"/>
      <c r="H96" s="246"/>
      <c r="I96" s="250">
        <v>1</v>
      </c>
      <c r="J96" s="108">
        <f>ROUND(E94*F96*I96,4)</f>
        <v>255.27</v>
      </c>
      <c r="K96" s="108"/>
      <c r="L96" s="108"/>
      <c r="S96" s="14">
        <v>1018</v>
      </c>
    </row>
    <row r="97" ht="17.25" customHeight="1" spans="1:19">
      <c r="A97" s="241"/>
      <c r="B97" s="47" t="s">
        <v>521</v>
      </c>
      <c r="C97" s="104" t="s">
        <v>522</v>
      </c>
      <c r="D97" s="47" t="s">
        <v>518</v>
      </c>
      <c r="E97" s="108"/>
      <c r="F97" s="246">
        <v>21.42</v>
      </c>
      <c r="G97" s="246"/>
      <c r="H97" s="246"/>
      <c r="I97" s="250">
        <v>1</v>
      </c>
      <c r="J97" s="108">
        <f>ROUND(E94*F97*I97,4)</f>
        <v>5.4407</v>
      </c>
      <c r="K97" s="108"/>
      <c r="L97" s="108"/>
      <c r="S97" s="14">
        <v>103</v>
      </c>
    </row>
    <row r="98" ht="17.25" customHeight="1" spans="1:12">
      <c r="A98" s="241"/>
      <c r="B98" s="47"/>
      <c r="C98" s="242" t="s">
        <v>787</v>
      </c>
      <c r="D98" s="243"/>
      <c r="E98" s="244"/>
      <c r="F98" s="245"/>
      <c r="G98" s="245"/>
      <c r="H98" s="245"/>
      <c r="I98" s="249"/>
      <c r="J98" s="244"/>
      <c r="K98" s="244"/>
      <c r="L98" s="244"/>
    </row>
    <row r="99" ht="17.25" customHeight="1" spans="1:19">
      <c r="A99" s="241"/>
      <c r="B99" s="47" t="s">
        <v>596</v>
      </c>
      <c r="C99" s="104" t="s">
        <v>597</v>
      </c>
      <c r="D99" s="47" t="s">
        <v>594</v>
      </c>
      <c r="E99" s="108"/>
      <c r="F99" s="246"/>
      <c r="G99" s="246">
        <v>11.32</v>
      </c>
      <c r="H99" s="246"/>
      <c r="I99" s="250">
        <v>1</v>
      </c>
      <c r="J99" s="108"/>
      <c r="K99" s="108">
        <f>ROUND(E94*G99*I99,4)</f>
        <v>2.8753</v>
      </c>
      <c r="L99" s="108"/>
      <c r="S99" s="14">
        <v>201</v>
      </c>
    </row>
    <row r="100" ht="17.25" customHeight="1" spans="1:12">
      <c r="A100" s="241"/>
      <c r="B100" s="47"/>
      <c r="C100" s="242" t="s">
        <v>788</v>
      </c>
      <c r="D100" s="243"/>
      <c r="E100" s="244"/>
      <c r="F100" s="245"/>
      <c r="G100" s="245"/>
      <c r="H100" s="245"/>
      <c r="I100" s="249"/>
      <c r="J100" s="244"/>
      <c r="K100" s="244"/>
      <c r="L100" s="244"/>
    </row>
    <row r="101" ht="17.25" customHeight="1" spans="1:19">
      <c r="A101" s="241"/>
      <c r="B101" s="47" t="s">
        <v>621</v>
      </c>
      <c r="C101" s="104" t="s">
        <v>622</v>
      </c>
      <c r="D101" s="47" t="s">
        <v>612</v>
      </c>
      <c r="E101" s="108"/>
      <c r="F101" s="246"/>
      <c r="G101" s="246"/>
      <c r="H101" s="246">
        <v>0.4</v>
      </c>
      <c r="I101" s="250">
        <v>1</v>
      </c>
      <c r="J101" s="108"/>
      <c r="K101" s="108"/>
      <c r="L101" s="108">
        <f>ROUND(E94*H101*I101,4)</f>
        <v>0.1016</v>
      </c>
      <c r="S101" s="14">
        <v>301</v>
      </c>
    </row>
    <row r="102" ht="55.5" customHeight="1" spans="1:12">
      <c r="A102" s="236">
        <v>15</v>
      </c>
      <c r="B102" s="237" t="s">
        <v>122</v>
      </c>
      <c r="C102" s="238" t="s">
        <v>141</v>
      </c>
      <c r="D102" s="237" t="s">
        <v>114</v>
      </c>
      <c r="E102" s="239">
        <v>0.3154</v>
      </c>
      <c r="F102" s="240"/>
      <c r="G102" s="240"/>
      <c r="H102" s="240"/>
      <c r="I102" s="248"/>
      <c r="J102" s="239"/>
      <c r="K102" s="239"/>
      <c r="L102" s="239"/>
    </row>
    <row r="103" ht="17.25" customHeight="1" spans="1:12">
      <c r="A103" s="241"/>
      <c r="B103" s="47"/>
      <c r="C103" s="242" t="s">
        <v>789</v>
      </c>
      <c r="D103" s="243"/>
      <c r="E103" s="244"/>
      <c r="F103" s="245"/>
      <c r="G103" s="245"/>
      <c r="H103" s="245"/>
      <c r="I103" s="249"/>
      <c r="J103" s="244"/>
      <c r="K103" s="244"/>
      <c r="L103" s="244"/>
    </row>
    <row r="104" ht="17.25" customHeight="1" spans="1:19">
      <c r="A104" s="241"/>
      <c r="B104" s="47" t="s">
        <v>575</v>
      </c>
      <c r="C104" s="104" t="s">
        <v>576</v>
      </c>
      <c r="D104" s="47" t="s">
        <v>518</v>
      </c>
      <c r="E104" s="108"/>
      <c r="F104" s="246">
        <v>1020</v>
      </c>
      <c r="G104" s="246"/>
      <c r="H104" s="246"/>
      <c r="I104" s="250">
        <v>1</v>
      </c>
      <c r="J104" s="108">
        <f>ROUND(E102*F104*I104,4)</f>
        <v>321.708</v>
      </c>
      <c r="K104" s="108"/>
      <c r="L104" s="108"/>
      <c r="S104" s="14">
        <v>1019</v>
      </c>
    </row>
    <row r="105" ht="17.25" customHeight="1" spans="1:19">
      <c r="A105" s="241"/>
      <c r="B105" s="47" t="s">
        <v>521</v>
      </c>
      <c r="C105" s="104" t="s">
        <v>522</v>
      </c>
      <c r="D105" s="47" t="s">
        <v>518</v>
      </c>
      <c r="E105" s="108"/>
      <c r="F105" s="246">
        <v>14.28</v>
      </c>
      <c r="G105" s="246"/>
      <c r="H105" s="246"/>
      <c r="I105" s="250">
        <v>1</v>
      </c>
      <c r="J105" s="108">
        <f>ROUND(E102*F105*I105,4)</f>
        <v>4.5039</v>
      </c>
      <c r="K105" s="108"/>
      <c r="L105" s="108"/>
      <c r="S105" s="14">
        <v>103</v>
      </c>
    </row>
    <row r="106" ht="17.25" customHeight="1" spans="1:19">
      <c r="A106" s="241"/>
      <c r="B106" s="47" t="s">
        <v>569</v>
      </c>
      <c r="C106" s="104" t="s">
        <v>570</v>
      </c>
      <c r="D106" s="47" t="s">
        <v>518</v>
      </c>
      <c r="E106" s="108"/>
      <c r="F106" s="246">
        <v>4.64</v>
      </c>
      <c r="G106" s="246"/>
      <c r="H106" s="246"/>
      <c r="I106" s="250">
        <v>1</v>
      </c>
      <c r="J106" s="108">
        <f>ROUND(E102*F106*I106,4)</f>
        <v>1.4635</v>
      </c>
      <c r="K106" s="108"/>
      <c r="L106" s="108"/>
      <c r="S106" s="14">
        <v>1017</v>
      </c>
    </row>
    <row r="107" ht="17.25" customHeight="1" spans="1:12">
      <c r="A107" s="241"/>
      <c r="B107" s="47"/>
      <c r="C107" s="242" t="s">
        <v>787</v>
      </c>
      <c r="D107" s="243"/>
      <c r="E107" s="244"/>
      <c r="F107" s="245"/>
      <c r="G107" s="245"/>
      <c r="H107" s="245"/>
      <c r="I107" s="249"/>
      <c r="J107" s="244"/>
      <c r="K107" s="244"/>
      <c r="L107" s="244"/>
    </row>
    <row r="108" ht="17.25" customHeight="1" spans="1:19">
      <c r="A108" s="241"/>
      <c r="B108" s="47" t="s">
        <v>596</v>
      </c>
      <c r="C108" s="104" t="s">
        <v>597</v>
      </c>
      <c r="D108" s="47" t="s">
        <v>594</v>
      </c>
      <c r="E108" s="108"/>
      <c r="F108" s="246"/>
      <c r="G108" s="246">
        <v>8.34</v>
      </c>
      <c r="H108" s="246"/>
      <c r="I108" s="250">
        <v>1</v>
      </c>
      <c r="J108" s="108"/>
      <c r="K108" s="108">
        <f>ROUND(E102*G108*I108,4)</f>
        <v>2.6304</v>
      </c>
      <c r="L108" s="108"/>
      <c r="S108" s="14">
        <v>201</v>
      </c>
    </row>
    <row r="109" ht="17.25" customHeight="1" spans="1:12">
      <c r="A109" s="241"/>
      <c r="B109" s="47"/>
      <c r="C109" s="242" t="s">
        <v>788</v>
      </c>
      <c r="D109" s="243"/>
      <c r="E109" s="244"/>
      <c r="F109" s="245"/>
      <c r="G109" s="245"/>
      <c r="H109" s="245"/>
      <c r="I109" s="249"/>
      <c r="J109" s="244"/>
      <c r="K109" s="244"/>
      <c r="L109" s="244"/>
    </row>
    <row r="110" ht="17.25" customHeight="1" spans="1:19">
      <c r="A110" s="241"/>
      <c r="B110" s="47" t="s">
        <v>636</v>
      </c>
      <c r="C110" s="104" t="s">
        <v>637</v>
      </c>
      <c r="D110" s="47" t="s">
        <v>612</v>
      </c>
      <c r="E110" s="108"/>
      <c r="F110" s="246"/>
      <c r="G110" s="246"/>
      <c r="H110" s="246">
        <v>1.12</v>
      </c>
      <c r="I110" s="250">
        <v>1</v>
      </c>
      <c r="J110" s="108"/>
      <c r="K110" s="108"/>
      <c r="L110" s="108">
        <f>ROUND(E102*H110*I110,4)</f>
        <v>0.3532</v>
      </c>
      <c r="S110" s="14">
        <v>306</v>
      </c>
    </row>
    <row r="111" ht="17.25" customHeight="1" spans="1:19">
      <c r="A111" s="241"/>
      <c r="B111" s="47" t="s">
        <v>621</v>
      </c>
      <c r="C111" s="104" t="s">
        <v>622</v>
      </c>
      <c r="D111" s="47" t="s">
        <v>612</v>
      </c>
      <c r="E111" s="108"/>
      <c r="F111" s="246"/>
      <c r="G111" s="246"/>
      <c r="H111" s="246">
        <v>0.32</v>
      </c>
      <c r="I111" s="250">
        <v>1</v>
      </c>
      <c r="J111" s="108"/>
      <c r="K111" s="108"/>
      <c r="L111" s="108">
        <f>ROUND(E102*H111*I111,4)</f>
        <v>0.1009</v>
      </c>
      <c r="S111" s="14">
        <v>301</v>
      </c>
    </row>
    <row r="112" ht="55.5" customHeight="1" spans="1:12">
      <c r="A112" s="236">
        <v>16</v>
      </c>
      <c r="B112" s="237" t="s">
        <v>147</v>
      </c>
      <c r="C112" s="238" t="s">
        <v>148</v>
      </c>
      <c r="D112" s="237" t="s">
        <v>114</v>
      </c>
      <c r="E112" s="239">
        <v>0.4642</v>
      </c>
      <c r="F112" s="240"/>
      <c r="G112" s="240"/>
      <c r="H112" s="240"/>
      <c r="I112" s="248"/>
      <c r="J112" s="239"/>
      <c r="K112" s="239"/>
      <c r="L112" s="239"/>
    </row>
    <row r="113" ht="17.25" customHeight="1" spans="1:12">
      <c r="A113" s="241"/>
      <c r="B113" s="47"/>
      <c r="C113" s="242" t="s">
        <v>789</v>
      </c>
      <c r="D113" s="243"/>
      <c r="E113" s="244"/>
      <c r="F113" s="245"/>
      <c r="G113" s="245"/>
      <c r="H113" s="245"/>
      <c r="I113" s="249"/>
      <c r="J113" s="244"/>
      <c r="K113" s="244"/>
      <c r="L113" s="244"/>
    </row>
    <row r="114" ht="17.25" customHeight="1" spans="1:19">
      <c r="A114" s="241"/>
      <c r="B114" s="47" t="s">
        <v>578</v>
      </c>
      <c r="C114" s="104" t="s">
        <v>579</v>
      </c>
      <c r="D114" s="47" t="s">
        <v>518</v>
      </c>
      <c r="E114" s="108"/>
      <c r="F114" s="246">
        <v>1020</v>
      </c>
      <c r="G114" s="246"/>
      <c r="H114" s="246"/>
      <c r="I114" s="250">
        <v>1</v>
      </c>
      <c r="J114" s="108">
        <f>ROUND(E112*F114*I114,4)</f>
        <v>473.484</v>
      </c>
      <c r="K114" s="108"/>
      <c r="L114" s="108"/>
      <c r="S114" s="14">
        <v>1020</v>
      </c>
    </row>
    <row r="115" ht="17.25" customHeight="1" spans="1:19">
      <c r="A115" s="241"/>
      <c r="B115" s="47" t="s">
        <v>521</v>
      </c>
      <c r="C115" s="104" t="s">
        <v>522</v>
      </c>
      <c r="D115" s="47" t="s">
        <v>518</v>
      </c>
      <c r="E115" s="108"/>
      <c r="F115" s="246">
        <v>14.28</v>
      </c>
      <c r="G115" s="246"/>
      <c r="H115" s="246"/>
      <c r="I115" s="250">
        <v>1</v>
      </c>
      <c r="J115" s="108">
        <f>ROUND(E112*F115*I115,4)</f>
        <v>6.6288</v>
      </c>
      <c r="K115" s="108"/>
      <c r="L115" s="108"/>
      <c r="S115" s="14">
        <v>103</v>
      </c>
    </row>
    <row r="116" ht="17.25" customHeight="1" spans="1:19">
      <c r="A116" s="241"/>
      <c r="B116" s="47" t="s">
        <v>569</v>
      </c>
      <c r="C116" s="104" t="s">
        <v>570</v>
      </c>
      <c r="D116" s="47" t="s">
        <v>518</v>
      </c>
      <c r="E116" s="108"/>
      <c r="F116" s="246">
        <v>5.3</v>
      </c>
      <c r="G116" s="246"/>
      <c r="H116" s="246"/>
      <c r="I116" s="250">
        <v>1</v>
      </c>
      <c r="J116" s="108">
        <f>ROUND(E112*F116*I116,4)</f>
        <v>2.4603</v>
      </c>
      <c r="K116" s="108"/>
      <c r="L116" s="108"/>
      <c r="S116" s="14">
        <v>1017</v>
      </c>
    </row>
    <row r="117" ht="17.25" customHeight="1" spans="1:12">
      <c r="A117" s="241"/>
      <c r="B117" s="47"/>
      <c r="C117" s="242" t="s">
        <v>787</v>
      </c>
      <c r="D117" s="243"/>
      <c r="E117" s="244"/>
      <c r="F117" s="245"/>
      <c r="G117" s="245"/>
      <c r="H117" s="245"/>
      <c r="I117" s="249"/>
      <c r="J117" s="244"/>
      <c r="K117" s="244"/>
      <c r="L117" s="244"/>
    </row>
    <row r="118" ht="17.25" customHeight="1" spans="1:19">
      <c r="A118" s="241"/>
      <c r="B118" s="47" t="s">
        <v>596</v>
      </c>
      <c r="C118" s="104" t="s">
        <v>597</v>
      </c>
      <c r="D118" s="47" t="s">
        <v>594</v>
      </c>
      <c r="E118" s="108"/>
      <c r="F118" s="246"/>
      <c r="G118" s="246">
        <v>6.35</v>
      </c>
      <c r="H118" s="246"/>
      <c r="I118" s="250">
        <v>1</v>
      </c>
      <c r="J118" s="108"/>
      <c r="K118" s="108">
        <f>ROUND(E112*G118*I118,4)</f>
        <v>2.9477</v>
      </c>
      <c r="L118" s="108"/>
      <c r="S118" s="14">
        <v>201</v>
      </c>
    </row>
    <row r="119" ht="17.25" customHeight="1" spans="1:12">
      <c r="A119" s="241"/>
      <c r="B119" s="47"/>
      <c r="C119" s="242" t="s">
        <v>788</v>
      </c>
      <c r="D119" s="243"/>
      <c r="E119" s="244"/>
      <c r="F119" s="245"/>
      <c r="G119" s="245"/>
      <c r="H119" s="245"/>
      <c r="I119" s="249"/>
      <c r="J119" s="244"/>
      <c r="K119" s="244"/>
      <c r="L119" s="244"/>
    </row>
    <row r="120" ht="17.25" customHeight="1" spans="1:19">
      <c r="A120" s="241"/>
      <c r="B120" s="47" t="s">
        <v>636</v>
      </c>
      <c r="C120" s="104" t="s">
        <v>637</v>
      </c>
      <c r="D120" s="47" t="s">
        <v>612</v>
      </c>
      <c r="E120" s="108"/>
      <c r="F120" s="246"/>
      <c r="G120" s="246"/>
      <c r="H120" s="246">
        <v>1.27</v>
      </c>
      <c r="I120" s="250">
        <v>1</v>
      </c>
      <c r="J120" s="108"/>
      <c r="K120" s="108"/>
      <c r="L120" s="108">
        <f>ROUND(E112*H120*I120,4)</f>
        <v>0.5895</v>
      </c>
      <c r="S120" s="14">
        <v>306</v>
      </c>
    </row>
    <row r="121" ht="17.25" customHeight="1" spans="1:19">
      <c r="A121" s="241"/>
      <c r="B121" s="47" t="s">
        <v>621</v>
      </c>
      <c r="C121" s="104" t="s">
        <v>622</v>
      </c>
      <c r="D121" s="47" t="s">
        <v>612</v>
      </c>
      <c r="E121" s="108"/>
      <c r="F121" s="246"/>
      <c r="G121" s="246"/>
      <c r="H121" s="246">
        <v>0.16</v>
      </c>
      <c r="I121" s="250">
        <v>1</v>
      </c>
      <c r="J121" s="108"/>
      <c r="K121" s="108"/>
      <c r="L121" s="108">
        <f>ROUND(E112*H121*I121,4)</f>
        <v>0.0743</v>
      </c>
      <c r="S121" s="14">
        <v>301</v>
      </c>
    </row>
    <row r="122" ht="80.25" customHeight="1" spans="1:12">
      <c r="A122" s="236">
        <v>17</v>
      </c>
      <c r="B122" s="237" t="s">
        <v>155</v>
      </c>
      <c r="C122" s="238" t="s">
        <v>157</v>
      </c>
      <c r="D122" s="237" t="s">
        <v>55</v>
      </c>
      <c r="E122" s="239">
        <v>7.189</v>
      </c>
      <c r="F122" s="240"/>
      <c r="G122" s="240"/>
      <c r="H122" s="240"/>
      <c r="I122" s="248"/>
      <c r="J122" s="239"/>
      <c r="K122" s="239"/>
      <c r="L122" s="239"/>
    </row>
    <row r="123" ht="17.25" customHeight="1" spans="1:12">
      <c r="A123" s="241"/>
      <c r="B123" s="47"/>
      <c r="C123" s="242" t="s">
        <v>789</v>
      </c>
      <c r="D123" s="243"/>
      <c r="E123" s="244"/>
      <c r="F123" s="245"/>
      <c r="G123" s="245"/>
      <c r="H123" s="245"/>
      <c r="I123" s="249"/>
      <c r="J123" s="244"/>
      <c r="K123" s="244"/>
      <c r="L123" s="244"/>
    </row>
    <row r="124" ht="30" customHeight="1" spans="1:19">
      <c r="A124" s="241"/>
      <c r="B124" s="47" t="s">
        <v>156</v>
      </c>
      <c r="C124" s="104" t="s">
        <v>585</v>
      </c>
      <c r="D124" s="47" t="s">
        <v>55</v>
      </c>
      <c r="E124" s="108"/>
      <c r="F124" s="246">
        <v>1.015</v>
      </c>
      <c r="G124" s="246"/>
      <c r="H124" s="246"/>
      <c r="I124" s="250">
        <v>1</v>
      </c>
      <c r="J124" s="108">
        <f>ROUND(E122*F124*I124,4)</f>
        <v>7.2968</v>
      </c>
      <c r="K124" s="108"/>
      <c r="L124" s="108"/>
      <c r="Q124" s="14">
        <v>0</v>
      </c>
      <c r="R124" s="14">
        <v>0</v>
      </c>
      <c r="S124" s="14">
        <v>1022</v>
      </c>
    </row>
    <row r="125" ht="17.25" customHeight="1" spans="1:15">
      <c r="A125" s="241"/>
      <c r="B125" s="47" t="s">
        <v>793</v>
      </c>
      <c r="C125" s="104" t="s">
        <v>794</v>
      </c>
      <c r="D125" s="47" t="s">
        <v>792</v>
      </c>
      <c r="E125" s="108"/>
      <c r="F125" s="246">
        <v>1</v>
      </c>
      <c r="G125" s="246"/>
      <c r="H125" s="246"/>
      <c r="I125" s="250"/>
      <c r="J125" s="108"/>
      <c r="K125" s="108"/>
      <c r="L125" s="108"/>
      <c r="M125" s="14">
        <v>82682</v>
      </c>
      <c r="O125" s="14">
        <v>80265</v>
      </c>
    </row>
    <row r="126" ht="17.25" customHeight="1" spans="1:12">
      <c r="A126" s="241"/>
      <c r="B126" s="47"/>
      <c r="C126" s="242" t="s">
        <v>787</v>
      </c>
      <c r="D126" s="243"/>
      <c r="E126" s="244"/>
      <c r="F126" s="245"/>
      <c r="G126" s="245"/>
      <c r="H126" s="245"/>
      <c r="I126" s="249"/>
      <c r="J126" s="244"/>
      <c r="K126" s="244"/>
      <c r="L126" s="244"/>
    </row>
    <row r="127" ht="17.25" customHeight="1" spans="1:19">
      <c r="A127" s="241"/>
      <c r="B127" s="47" t="s">
        <v>592</v>
      </c>
      <c r="C127" s="104" t="s">
        <v>593</v>
      </c>
      <c r="D127" s="47" t="s">
        <v>594</v>
      </c>
      <c r="E127" s="108"/>
      <c r="F127" s="246"/>
      <c r="G127" s="246">
        <v>0.85</v>
      </c>
      <c r="H127" s="246"/>
      <c r="I127" s="250">
        <v>1</v>
      </c>
      <c r="J127" s="108"/>
      <c r="K127" s="108">
        <f>ROUND(E122*G127*I127,4)</f>
        <v>6.1107</v>
      </c>
      <c r="L127" s="108"/>
      <c r="S127" s="14">
        <v>200</v>
      </c>
    </row>
    <row r="128" ht="17.25" customHeight="1" spans="1:12">
      <c r="A128" s="241"/>
      <c r="B128" s="47"/>
      <c r="C128" s="242" t="s">
        <v>788</v>
      </c>
      <c r="D128" s="243"/>
      <c r="E128" s="244"/>
      <c r="F128" s="245"/>
      <c r="G128" s="245"/>
      <c r="H128" s="245"/>
      <c r="I128" s="249"/>
      <c r="J128" s="244"/>
      <c r="K128" s="244"/>
      <c r="L128" s="244"/>
    </row>
    <row r="129" ht="17.25" customHeight="1" spans="1:19">
      <c r="A129" s="241"/>
      <c r="B129" s="47" t="s">
        <v>660</v>
      </c>
      <c r="C129" s="104" t="s">
        <v>661</v>
      </c>
      <c r="D129" s="47" t="s">
        <v>612</v>
      </c>
      <c r="E129" s="108"/>
      <c r="F129" s="246"/>
      <c r="G129" s="246"/>
      <c r="H129" s="246">
        <v>0.033</v>
      </c>
      <c r="I129" s="250">
        <v>1</v>
      </c>
      <c r="J129" s="108"/>
      <c r="K129" s="108"/>
      <c r="L129" s="108">
        <f>ROUND(E122*H129*I129,4)</f>
        <v>0.2372</v>
      </c>
      <c r="S129" s="14">
        <v>3012</v>
      </c>
    </row>
    <row r="130" ht="17.25" customHeight="1" spans="1:19">
      <c r="A130" s="241"/>
      <c r="B130" s="47" t="s">
        <v>633</v>
      </c>
      <c r="C130" s="104" t="s">
        <v>634</v>
      </c>
      <c r="D130" s="47" t="s">
        <v>612</v>
      </c>
      <c r="E130" s="108"/>
      <c r="F130" s="246"/>
      <c r="G130" s="246"/>
      <c r="H130" s="246">
        <v>0.089</v>
      </c>
      <c r="I130" s="250">
        <v>1</v>
      </c>
      <c r="J130" s="108"/>
      <c r="K130" s="108"/>
      <c r="L130" s="108">
        <f>ROUND(E122*H130*I130,4)</f>
        <v>0.6398</v>
      </c>
      <c r="S130" s="14">
        <v>305</v>
      </c>
    </row>
    <row r="131" ht="17.25" customHeight="1" spans="1:16">
      <c r="A131" s="241"/>
      <c r="B131" s="47" t="s">
        <v>790</v>
      </c>
      <c r="C131" s="104" t="s">
        <v>791</v>
      </c>
      <c r="D131" s="47" t="s">
        <v>792</v>
      </c>
      <c r="E131" s="108"/>
      <c r="F131" s="246"/>
      <c r="G131" s="246"/>
      <c r="H131" s="246">
        <v>1</v>
      </c>
      <c r="I131" s="250"/>
      <c r="J131" s="108"/>
      <c r="K131" s="108"/>
      <c r="L131" s="108"/>
      <c r="N131" s="14">
        <v>9996</v>
      </c>
      <c r="P131" s="14">
        <v>11056</v>
      </c>
    </row>
    <row r="132" ht="80.25" customHeight="1" spans="1:12">
      <c r="A132" s="236">
        <v>18</v>
      </c>
      <c r="B132" s="237" t="s">
        <v>155</v>
      </c>
      <c r="C132" s="238" t="s">
        <v>162</v>
      </c>
      <c r="D132" s="237" t="s">
        <v>55</v>
      </c>
      <c r="E132" s="239">
        <v>5.0544</v>
      </c>
      <c r="F132" s="240"/>
      <c r="G132" s="240"/>
      <c r="H132" s="240"/>
      <c r="I132" s="248"/>
      <c r="J132" s="239"/>
      <c r="K132" s="239"/>
      <c r="L132" s="239"/>
    </row>
    <row r="133" ht="17.25" customHeight="1" spans="1:12">
      <c r="A133" s="241"/>
      <c r="B133" s="47"/>
      <c r="C133" s="242" t="s">
        <v>789</v>
      </c>
      <c r="D133" s="243"/>
      <c r="E133" s="244"/>
      <c r="F133" s="245"/>
      <c r="G133" s="245"/>
      <c r="H133" s="245"/>
      <c r="I133" s="249"/>
      <c r="J133" s="244"/>
      <c r="K133" s="244"/>
      <c r="L133" s="244"/>
    </row>
    <row r="134" ht="30" customHeight="1" spans="1:19">
      <c r="A134" s="241"/>
      <c r="B134" s="47" t="s">
        <v>156</v>
      </c>
      <c r="C134" s="104" t="s">
        <v>585</v>
      </c>
      <c r="D134" s="47" t="s">
        <v>55</v>
      </c>
      <c r="E134" s="108"/>
      <c r="F134" s="246">
        <v>1.015</v>
      </c>
      <c r="G134" s="246"/>
      <c r="H134" s="246"/>
      <c r="I134" s="250">
        <v>1</v>
      </c>
      <c r="J134" s="108">
        <f>ROUND(E132*F134*I134,4)</f>
        <v>5.1302</v>
      </c>
      <c r="K134" s="108"/>
      <c r="L134" s="108"/>
      <c r="Q134" s="14">
        <v>0</v>
      </c>
      <c r="R134" s="14">
        <v>0</v>
      </c>
      <c r="S134" s="14">
        <v>1022</v>
      </c>
    </row>
    <row r="135" ht="17.25" customHeight="1" spans="1:15">
      <c r="A135" s="241"/>
      <c r="B135" s="47" t="s">
        <v>793</v>
      </c>
      <c r="C135" s="104" t="s">
        <v>794</v>
      </c>
      <c r="D135" s="47" t="s">
        <v>792</v>
      </c>
      <c r="E135" s="108"/>
      <c r="F135" s="246">
        <v>1</v>
      </c>
      <c r="G135" s="246"/>
      <c r="H135" s="246"/>
      <c r="I135" s="250"/>
      <c r="J135" s="108"/>
      <c r="K135" s="108"/>
      <c r="L135" s="108"/>
      <c r="M135" s="14">
        <v>58132</v>
      </c>
      <c r="O135" s="14">
        <v>56432</v>
      </c>
    </row>
    <row r="136" ht="17.25" customHeight="1" spans="1:12">
      <c r="A136" s="241"/>
      <c r="B136" s="47"/>
      <c r="C136" s="242" t="s">
        <v>787</v>
      </c>
      <c r="D136" s="243"/>
      <c r="E136" s="244"/>
      <c r="F136" s="245"/>
      <c r="G136" s="245"/>
      <c r="H136" s="245"/>
      <c r="I136" s="249"/>
      <c r="J136" s="244"/>
      <c r="K136" s="244"/>
      <c r="L136" s="244"/>
    </row>
    <row r="137" ht="17.25" customHeight="1" spans="1:19">
      <c r="A137" s="241"/>
      <c r="B137" s="47" t="s">
        <v>592</v>
      </c>
      <c r="C137" s="104" t="s">
        <v>593</v>
      </c>
      <c r="D137" s="47" t="s">
        <v>594</v>
      </c>
      <c r="E137" s="108"/>
      <c r="F137" s="246"/>
      <c r="G137" s="246">
        <v>0.85</v>
      </c>
      <c r="H137" s="246"/>
      <c r="I137" s="250">
        <v>1</v>
      </c>
      <c r="J137" s="108"/>
      <c r="K137" s="108">
        <f>ROUND(E132*G137*I137,4)</f>
        <v>4.2962</v>
      </c>
      <c r="L137" s="108"/>
      <c r="S137" s="14">
        <v>200</v>
      </c>
    </row>
    <row r="138" ht="17.25" customHeight="1" spans="1:12">
      <c r="A138" s="241"/>
      <c r="B138" s="47"/>
      <c r="C138" s="242" t="s">
        <v>788</v>
      </c>
      <c r="D138" s="243"/>
      <c r="E138" s="244"/>
      <c r="F138" s="245"/>
      <c r="G138" s="245"/>
      <c r="H138" s="245"/>
      <c r="I138" s="249"/>
      <c r="J138" s="244"/>
      <c r="K138" s="244"/>
      <c r="L138" s="244"/>
    </row>
    <row r="139" ht="17.25" customHeight="1" spans="1:19">
      <c r="A139" s="241"/>
      <c r="B139" s="47" t="s">
        <v>660</v>
      </c>
      <c r="C139" s="104" t="s">
        <v>661</v>
      </c>
      <c r="D139" s="47" t="s">
        <v>612</v>
      </c>
      <c r="E139" s="108"/>
      <c r="F139" s="246"/>
      <c r="G139" s="246"/>
      <c r="H139" s="246">
        <v>0.033</v>
      </c>
      <c r="I139" s="250">
        <v>1</v>
      </c>
      <c r="J139" s="108"/>
      <c r="K139" s="108"/>
      <c r="L139" s="108">
        <f>ROUND(E132*H139*I139,4)</f>
        <v>0.1668</v>
      </c>
      <c r="S139" s="14">
        <v>3012</v>
      </c>
    </row>
    <row r="140" ht="17.25" customHeight="1" spans="1:19">
      <c r="A140" s="241"/>
      <c r="B140" s="47" t="s">
        <v>633</v>
      </c>
      <c r="C140" s="104" t="s">
        <v>634</v>
      </c>
      <c r="D140" s="47" t="s">
        <v>612</v>
      </c>
      <c r="E140" s="108"/>
      <c r="F140" s="246"/>
      <c r="G140" s="246"/>
      <c r="H140" s="246">
        <v>0.089</v>
      </c>
      <c r="I140" s="250">
        <v>1</v>
      </c>
      <c r="J140" s="108"/>
      <c r="K140" s="108"/>
      <c r="L140" s="108">
        <f>ROUND(E132*H140*I140,4)</f>
        <v>0.4498</v>
      </c>
      <c r="S140" s="14">
        <v>305</v>
      </c>
    </row>
    <row r="141" ht="17.25" customHeight="1" spans="1:16">
      <c r="A141" s="241"/>
      <c r="B141" s="47" t="s">
        <v>790</v>
      </c>
      <c r="C141" s="104" t="s">
        <v>791</v>
      </c>
      <c r="D141" s="47" t="s">
        <v>792</v>
      </c>
      <c r="E141" s="108"/>
      <c r="F141" s="246"/>
      <c r="G141" s="246"/>
      <c r="H141" s="246">
        <v>1</v>
      </c>
      <c r="I141" s="250"/>
      <c r="J141" s="108"/>
      <c r="K141" s="108"/>
      <c r="L141" s="108"/>
      <c r="N141" s="14">
        <v>7028</v>
      </c>
      <c r="P141" s="14">
        <v>7773</v>
      </c>
    </row>
    <row r="142" ht="42.75" customHeight="1" spans="1:12">
      <c r="A142" s="236">
        <v>19</v>
      </c>
      <c r="B142" s="237" t="s">
        <v>163</v>
      </c>
      <c r="C142" s="238" t="s">
        <v>165</v>
      </c>
      <c r="D142" s="237" t="s">
        <v>55</v>
      </c>
      <c r="E142" s="239">
        <v>0.7387</v>
      </c>
      <c r="F142" s="240"/>
      <c r="G142" s="240"/>
      <c r="H142" s="240"/>
      <c r="I142" s="248"/>
      <c r="J142" s="239"/>
      <c r="K142" s="239"/>
      <c r="L142" s="239"/>
    </row>
    <row r="143" ht="17.25" customHeight="1" spans="1:12">
      <c r="A143" s="241"/>
      <c r="B143" s="47"/>
      <c r="C143" s="242" t="s">
        <v>789</v>
      </c>
      <c r="D143" s="243"/>
      <c r="E143" s="244"/>
      <c r="F143" s="245"/>
      <c r="G143" s="245"/>
      <c r="H143" s="245"/>
      <c r="I143" s="249"/>
      <c r="J143" s="244"/>
      <c r="K143" s="244"/>
      <c r="L143" s="244"/>
    </row>
    <row r="144" ht="17.25" customHeight="1" spans="1:19">
      <c r="A144" s="241"/>
      <c r="B144" s="47" t="s">
        <v>587</v>
      </c>
      <c r="C144" s="104" t="s">
        <v>588</v>
      </c>
      <c r="D144" s="47" t="s">
        <v>518</v>
      </c>
      <c r="E144" s="108"/>
      <c r="F144" s="246">
        <v>415.125</v>
      </c>
      <c r="G144" s="246"/>
      <c r="H144" s="246"/>
      <c r="I144" s="250">
        <v>1</v>
      </c>
      <c r="J144" s="108">
        <f>ROUND(E142*F144*I144,4)</f>
        <v>306.6528</v>
      </c>
      <c r="K144" s="108"/>
      <c r="L144" s="108"/>
      <c r="Q144" s="14">
        <v>0</v>
      </c>
      <c r="R144" s="14">
        <v>0</v>
      </c>
      <c r="S144" s="14">
        <v>1023</v>
      </c>
    </row>
    <row r="145" ht="17.25" customHeight="1" spans="1:19">
      <c r="A145" s="241"/>
      <c r="B145" s="47" t="s">
        <v>513</v>
      </c>
      <c r="C145" s="104" t="s">
        <v>514</v>
      </c>
      <c r="D145" s="47" t="s">
        <v>55</v>
      </c>
      <c r="E145" s="108"/>
      <c r="F145" s="246">
        <v>0.4551</v>
      </c>
      <c r="G145" s="246"/>
      <c r="H145" s="246"/>
      <c r="I145" s="250">
        <v>1</v>
      </c>
      <c r="J145" s="108">
        <f>ROUND(E142*F145*I145,4)</f>
        <v>0.3362</v>
      </c>
      <c r="K145" s="108"/>
      <c r="L145" s="108"/>
      <c r="Q145" s="14">
        <v>0</v>
      </c>
      <c r="R145" s="14">
        <v>0</v>
      </c>
      <c r="S145" s="14">
        <v>102</v>
      </c>
    </row>
    <row r="146" ht="17.25" customHeight="1" spans="1:19">
      <c r="A146" s="241"/>
      <c r="B146" s="47" t="s">
        <v>527</v>
      </c>
      <c r="C146" s="104" t="s">
        <v>528</v>
      </c>
      <c r="D146" s="47" t="s">
        <v>55</v>
      </c>
      <c r="E146" s="108"/>
      <c r="F146" s="246">
        <v>0.886625</v>
      </c>
      <c r="G146" s="246"/>
      <c r="H146" s="246"/>
      <c r="I146" s="250">
        <v>1</v>
      </c>
      <c r="J146" s="108">
        <f>ROUND(E142*F146*I146,4)</f>
        <v>0.6549</v>
      </c>
      <c r="K146" s="108"/>
      <c r="L146" s="108"/>
      <c r="Q146" s="14">
        <v>0</v>
      </c>
      <c r="R146" s="14">
        <v>0</v>
      </c>
      <c r="S146" s="14">
        <v>105</v>
      </c>
    </row>
    <row r="147" ht="17.25" customHeight="1" spans="1:19">
      <c r="A147" s="241"/>
      <c r="B147" s="47" t="s">
        <v>565</v>
      </c>
      <c r="C147" s="104" t="s">
        <v>566</v>
      </c>
      <c r="D147" s="47" t="s">
        <v>567</v>
      </c>
      <c r="E147" s="108"/>
      <c r="F147" s="246">
        <v>189.625</v>
      </c>
      <c r="G147" s="246"/>
      <c r="H147" s="246"/>
      <c r="I147" s="250">
        <v>1</v>
      </c>
      <c r="J147" s="108">
        <f>ROUND(E142*F147*I147,4)</f>
        <v>140.076</v>
      </c>
      <c r="K147" s="108"/>
      <c r="L147" s="108"/>
      <c r="Q147" s="14">
        <v>0</v>
      </c>
      <c r="R147" s="14">
        <v>0</v>
      </c>
      <c r="S147" s="14">
        <v>1016</v>
      </c>
    </row>
    <row r="148" ht="17.25" customHeight="1" spans="1:15">
      <c r="A148" s="241"/>
      <c r="B148" s="47" t="s">
        <v>793</v>
      </c>
      <c r="C148" s="104" t="s">
        <v>794</v>
      </c>
      <c r="D148" s="47" t="s">
        <v>792</v>
      </c>
      <c r="E148" s="108"/>
      <c r="F148" s="246">
        <v>1</v>
      </c>
      <c r="G148" s="246"/>
      <c r="H148" s="246"/>
      <c r="I148" s="250"/>
      <c r="J148" s="108"/>
      <c r="K148" s="108"/>
      <c r="L148" s="108"/>
      <c r="M148" s="14">
        <v>5248</v>
      </c>
      <c r="O148" s="14">
        <v>6079</v>
      </c>
    </row>
    <row r="149" ht="17.25" customHeight="1" spans="1:12">
      <c r="A149" s="241"/>
      <c r="B149" s="47"/>
      <c r="C149" s="242" t="s">
        <v>787</v>
      </c>
      <c r="D149" s="243"/>
      <c r="E149" s="244"/>
      <c r="F149" s="245"/>
      <c r="G149" s="245"/>
      <c r="H149" s="245"/>
      <c r="I149" s="249"/>
      <c r="J149" s="244"/>
      <c r="K149" s="244"/>
      <c r="L149" s="244"/>
    </row>
    <row r="150" ht="17.25" customHeight="1" spans="1:19">
      <c r="A150" s="241"/>
      <c r="B150" s="47" t="s">
        <v>596</v>
      </c>
      <c r="C150" s="104" t="s">
        <v>597</v>
      </c>
      <c r="D150" s="47" t="s">
        <v>594</v>
      </c>
      <c r="E150" s="108"/>
      <c r="F150" s="246"/>
      <c r="G150" s="246">
        <v>3.56</v>
      </c>
      <c r="H150" s="246"/>
      <c r="I150" s="250">
        <v>1</v>
      </c>
      <c r="J150" s="108"/>
      <c r="K150" s="108">
        <f>ROUND(E142*G150*I150,4)</f>
        <v>2.6298</v>
      </c>
      <c r="L150" s="108"/>
      <c r="S150" s="14">
        <v>201</v>
      </c>
    </row>
    <row r="151" ht="17.25" customHeight="1" spans="1:12">
      <c r="A151" s="241"/>
      <c r="B151" s="47"/>
      <c r="C151" s="242" t="s">
        <v>788</v>
      </c>
      <c r="D151" s="243"/>
      <c r="E151" s="244"/>
      <c r="F151" s="245"/>
      <c r="G151" s="245"/>
      <c r="H151" s="245"/>
      <c r="I151" s="249"/>
      <c r="J151" s="244"/>
      <c r="K151" s="244"/>
      <c r="L151" s="244"/>
    </row>
    <row r="152" ht="17.25" customHeight="1" spans="1:19">
      <c r="A152" s="241"/>
      <c r="B152" s="47" t="s">
        <v>642</v>
      </c>
      <c r="C152" s="104" t="s">
        <v>643</v>
      </c>
      <c r="D152" s="47" t="s">
        <v>612</v>
      </c>
      <c r="E152" s="108"/>
      <c r="F152" s="246"/>
      <c r="G152" s="246"/>
      <c r="H152" s="246">
        <v>0.095</v>
      </c>
      <c r="I152" s="250">
        <v>1</v>
      </c>
      <c r="J152" s="108"/>
      <c r="K152" s="108"/>
      <c r="L152" s="108">
        <f>ROUND(E142*H152*I152,4)</f>
        <v>0.0702</v>
      </c>
      <c r="S152" s="14">
        <v>308</v>
      </c>
    </row>
    <row r="153" ht="17.25" customHeight="1" spans="1:19">
      <c r="A153" s="241"/>
      <c r="B153" s="47" t="s">
        <v>633</v>
      </c>
      <c r="C153" s="104" t="s">
        <v>634</v>
      </c>
      <c r="D153" s="47" t="s">
        <v>612</v>
      </c>
      <c r="E153" s="108"/>
      <c r="F153" s="246"/>
      <c r="G153" s="246"/>
      <c r="H153" s="246">
        <v>0.18</v>
      </c>
      <c r="I153" s="250">
        <v>1</v>
      </c>
      <c r="J153" s="108"/>
      <c r="K153" s="108"/>
      <c r="L153" s="108">
        <f>ROUND(E142*H153*I153,4)</f>
        <v>0.133</v>
      </c>
      <c r="S153" s="14">
        <v>305</v>
      </c>
    </row>
    <row r="154" ht="17.25" customHeight="1" spans="1:19">
      <c r="A154" s="241"/>
      <c r="B154" s="47" t="s">
        <v>645</v>
      </c>
      <c r="C154" s="104" t="s">
        <v>646</v>
      </c>
      <c r="D154" s="47" t="s">
        <v>612</v>
      </c>
      <c r="E154" s="108"/>
      <c r="F154" s="246"/>
      <c r="G154" s="246"/>
      <c r="H154" s="246">
        <v>0.11</v>
      </c>
      <c r="I154" s="250">
        <v>1</v>
      </c>
      <c r="J154" s="108"/>
      <c r="K154" s="108"/>
      <c r="L154" s="108">
        <f>ROUND(E142*H154*I154,4)</f>
        <v>0.0813</v>
      </c>
      <c r="S154" s="14">
        <v>309</v>
      </c>
    </row>
    <row r="155" ht="68.25" customHeight="1" spans="1:12">
      <c r="A155" s="236">
        <v>20</v>
      </c>
      <c r="B155" s="237" t="s">
        <v>169</v>
      </c>
      <c r="C155" s="238" t="s">
        <v>170</v>
      </c>
      <c r="D155" s="237" t="s">
        <v>107</v>
      </c>
      <c r="E155" s="239">
        <v>0.0528</v>
      </c>
      <c r="F155" s="240"/>
      <c r="G155" s="240"/>
      <c r="H155" s="240"/>
      <c r="I155" s="248"/>
      <c r="J155" s="239"/>
      <c r="K155" s="239"/>
      <c r="L155" s="239"/>
    </row>
    <row r="156" ht="17.25" customHeight="1" spans="1:12">
      <c r="A156" s="241"/>
      <c r="B156" s="47"/>
      <c r="C156" s="242" t="s">
        <v>789</v>
      </c>
      <c r="D156" s="243"/>
      <c r="E156" s="244"/>
      <c r="F156" s="245"/>
      <c r="G156" s="245"/>
      <c r="H156" s="245"/>
      <c r="I156" s="249"/>
      <c r="J156" s="244"/>
      <c r="K156" s="244"/>
      <c r="L156" s="244"/>
    </row>
    <row r="157" ht="17.25" customHeight="1" spans="1:19">
      <c r="A157" s="241"/>
      <c r="B157" s="47" t="s">
        <v>581</v>
      </c>
      <c r="C157" s="104" t="s">
        <v>582</v>
      </c>
      <c r="D157" s="47" t="s">
        <v>583</v>
      </c>
      <c r="E157" s="108"/>
      <c r="F157" s="246">
        <v>10.5</v>
      </c>
      <c r="G157" s="246"/>
      <c r="H157" s="246"/>
      <c r="I157" s="250">
        <v>1</v>
      </c>
      <c r="J157" s="108">
        <f>ROUND(E155*F157*I157,4)</f>
        <v>0.5544</v>
      </c>
      <c r="K157" s="108"/>
      <c r="L157" s="108"/>
      <c r="Q157" s="14">
        <v>0</v>
      </c>
      <c r="R157" s="14">
        <v>0</v>
      </c>
      <c r="S157" s="14">
        <v>1021</v>
      </c>
    </row>
    <row r="158" ht="17.25" customHeight="1" spans="1:19">
      <c r="A158" s="241"/>
      <c r="B158" s="47" t="s">
        <v>562</v>
      </c>
      <c r="C158" s="104" t="s">
        <v>563</v>
      </c>
      <c r="D158" s="47" t="s">
        <v>518</v>
      </c>
      <c r="E158" s="108"/>
      <c r="F158" s="246">
        <v>13.73</v>
      </c>
      <c r="G158" s="246"/>
      <c r="H158" s="246"/>
      <c r="I158" s="250">
        <v>1</v>
      </c>
      <c r="J158" s="108">
        <f>ROUND(E155*F158*I158,4)</f>
        <v>0.7249</v>
      </c>
      <c r="K158" s="108"/>
      <c r="L158" s="108"/>
      <c r="Q158" s="14">
        <v>0</v>
      </c>
      <c r="R158" s="14">
        <v>0</v>
      </c>
      <c r="S158" s="14">
        <v>1015</v>
      </c>
    </row>
    <row r="159" ht="17.25" customHeight="1" spans="1:15">
      <c r="A159" s="241"/>
      <c r="B159" s="47" t="s">
        <v>793</v>
      </c>
      <c r="C159" s="104" t="s">
        <v>794</v>
      </c>
      <c r="D159" s="47" t="s">
        <v>792</v>
      </c>
      <c r="E159" s="108"/>
      <c r="F159" s="246">
        <v>5</v>
      </c>
      <c r="G159" s="246"/>
      <c r="H159" s="246"/>
      <c r="I159" s="250"/>
      <c r="J159" s="108"/>
      <c r="K159" s="108"/>
      <c r="L159" s="108"/>
      <c r="M159" s="14">
        <v>0</v>
      </c>
      <c r="O159" s="14">
        <v>8045</v>
      </c>
    </row>
    <row r="160" ht="17.25" customHeight="1" spans="1:12">
      <c r="A160" s="241"/>
      <c r="B160" s="47"/>
      <c r="C160" s="242" t="s">
        <v>787</v>
      </c>
      <c r="D160" s="243"/>
      <c r="E160" s="244"/>
      <c r="F160" s="245"/>
      <c r="G160" s="245"/>
      <c r="H160" s="245"/>
      <c r="I160" s="249"/>
      <c r="J160" s="244"/>
      <c r="K160" s="244"/>
      <c r="L160" s="244"/>
    </row>
    <row r="161" ht="17.25" customHeight="1" spans="1:19">
      <c r="A161" s="241"/>
      <c r="B161" s="47" t="s">
        <v>602</v>
      </c>
      <c r="C161" s="104" t="s">
        <v>603</v>
      </c>
      <c r="D161" s="47" t="s">
        <v>594</v>
      </c>
      <c r="E161" s="108"/>
      <c r="F161" s="246"/>
      <c r="G161" s="246">
        <v>22.52</v>
      </c>
      <c r="H161" s="246"/>
      <c r="I161" s="250">
        <v>1</v>
      </c>
      <c r="J161" s="108"/>
      <c r="K161" s="108">
        <f>ROUND(E155*G161*I161,4)</f>
        <v>1.1891</v>
      </c>
      <c r="L161" s="108"/>
      <c r="S161" s="14">
        <v>203</v>
      </c>
    </row>
    <row r="162" ht="17.25" customHeight="1" spans="1:12">
      <c r="A162" s="241"/>
      <c r="B162" s="47"/>
      <c r="C162" s="242" t="s">
        <v>788</v>
      </c>
      <c r="D162" s="243"/>
      <c r="E162" s="244"/>
      <c r="F162" s="245"/>
      <c r="G162" s="245"/>
      <c r="H162" s="245"/>
      <c r="I162" s="249"/>
      <c r="J162" s="244"/>
      <c r="K162" s="244"/>
      <c r="L162" s="244"/>
    </row>
    <row r="163" ht="17.25" customHeight="1" spans="1:19">
      <c r="A163" s="241"/>
      <c r="B163" s="47" t="s">
        <v>654</v>
      </c>
      <c r="C163" s="104" t="s">
        <v>655</v>
      </c>
      <c r="D163" s="47" t="s">
        <v>612</v>
      </c>
      <c r="E163" s="108"/>
      <c r="F163" s="246"/>
      <c r="G163" s="246"/>
      <c r="H163" s="246">
        <v>0.25</v>
      </c>
      <c r="I163" s="250">
        <v>1</v>
      </c>
      <c r="J163" s="108"/>
      <c r="K163" s="108"/>
      <c r="L163" s="108">
        <f>ROUND(E155*H163*I163,4)</f>
        <v>0.0132</v>
      </c>
      <c r="S163" s="14">
        <v>3011</v>
      </c>
    </row>
    <row r="164" ht="17.25" customHeight="1" spans="1:16">
      <c r="A164" s="241"/>
      <c r="B164" s="47" t="s">
        <v>790</v>
      </c>
      <c r="C164" s="104" t="s">
        <v>791</v>
      </c>
      <c r="D164" s="47" t="s">
        <v>792</v>
      </c>
      <c r="E164" s="108"/>
      <c r="F164" s="246"/>
      <c r="G164" s="246"/>
      <c r="H164" s="246">
        <v>2</v>
      </c>
      <c r="I164" s="250"/>
      <c r="J164" s="108"/>
      <c r="K164" s="108"/>
      <c r="L164" s="108"/>
      <c r="N164" s="14">
        <v>91</v>
      </c>
      <c r="P164" s="14">
        <v>104</v>
      </c>
    </row>
    <row r="165" ht="55.5" customHeight="1" spans="1:12">
      <c r="A165" s="236">
        <v>21</v>
      </c>
      <c r="B165" s="237" t="s">
        <v>176</v>
      </c>
      <c r="C165" s="238" t="s">
        <v>177</v>
      </c>
      <c r="D165" s="237" t="s">
        <v>114</v>
      </c>
      <c r="E165" s="239">
        <v>0.0248</v>
      </c>
      <c r="F165" s="240"/>
      <c r="G165" s="240"/>
      <c r="H165" s="240"/>
      <c r="I165" s="248"/>
      <c r="J165" s="239"/>
      <c r="K165" s="239"/>
      <c r="L165" s="239"/>
    </row>
    <row r="166" ht="17.25" customHeight="1" spans="1:12">
      <c r="A166" s="241"/>
      <c r="B166" s="47"/>
      <c r="C166" s="242" t="s">
        <v>789</v>
      </c>
      <c r="D166" s="243"/>
      <c r="E166" s="244"/>
      <c r="F166" s="245"/>
      <c r="G166" s="245"/>
      <c r="H166" s="245"/>
      <c r="I166" s="249"/>
      <c r="J166" s="244"/>
      <c r="K166" s="244"/>
      <c r="L166" s="244"/>
    </row>
    <row r="167" ht="17.25" customHeight="1" spans="1:19">
      <c r="A167" s="241"/>
      <c r="B167" s="47" t="s">
        <v>572</v>
      </c>
      <c r="C167" s="104" t="s">
        <v>573</v>
      </c>
      <c r="D167" s="47" t="s">
        <v>518</v>
      </c>
      <c r="E167" s="108"/>
      <c r="F167" s="246">
        <v>1005</v>
      </c>
      <c r="G167" s="246"/>
      <c r="H167" s="246"/>
      <c r="I167" s="250">
        <v>1</v>
      </c>
      <c r="J167" s="108">
        <f>ROUND(E165*F167*I167,4)</f>
        <v>24.924</v>
      </c>
      <c r="K167" s="108"/>
      <c r="L167" s="108"/>
      <c r="S167" s="14">
        <v>1018</v>
      </c>
    </row>
    <row r="168" ht="17.25" customHeight="1" spans="1:19">
      <c r="A168" s="241"/>
      <c r="B168" s="47" t="s">
        <v>521</v>
      </c>
      <c r="C168" s="104" t="s">
        <v>522</v>
      </c>
      <c r="D168" s="47" t="s">
        <v>518</v>
      </c>
      <c r="E168" s="108"/>
      <c r="F168" s="246">
        <v>21.42</v>
      </c>
      <c r="G168" s="246"/>
      <c r="H168" s="246"/>
      <c r="I168" s="250">
        <v>1</v>
      </c>
      <c r="J168" s="108">
        <f>ROUND(E165*F168*I168,4)</f>
        <v>0.5312</v>
      </c>
      <c r="K168" s="108"/>
      <c r="L168" s="108"/>
      <c r="S168" s="14">
        <v>103</v>
      </c>
    </row>
    <row r="169" ht="17.25" customHeight="1" spans="1:12">
      <c r="A169" s="241"/>
      <c r="B169" s="47"/>
      <c r="C169" s="242" t="s">
        <v>787</v>
      </c>
      <c r="D169" s="243"/>
      <c r="E169" s="244"/>
      <c r="F169" s="245"/>
      <c r="G169" s="245"/>
      <c r="H169" s="245"/>
      <c r="I169" s="249"/>
      <c r="J169" s="244"/>
      <c r="K169" s="244"/>
      <c r="L169" s="244"/>
    </row>
    <row r="170" ht="17.25" customHeight="1" spans="1:19">
      <c r="A170" s="241"/>
      <c r="B170" s="47" t="s">
        <v>596</v>
      </c>
      <c r="C170" s="104" t="s">
        <v>597</v>
      </c>
      <c r="D170" s="47" t="s">
        <v>594</v>
      </c>
      <c r="E170" s="108"/>
      <c r="F170" s="246"/>
      <c r="G170" s="246">
        <v>14.88</v>
      </c>
      <c r="H170" s="246"/>
      <c r="I170" s="250">
        <v>1</v>
      </c>
      <c r="J170" s="108"/>
      <c r="K170" s="108">
        <f>ROUND(E165*G170*I170,4)</f>
        <v>0.369</v>
      </c>
      <c r="L170" s="108"/>
      <c r="S170" s="14">
        <v>201</v>
      </c>
    </row>
    <row r="171" ht="17.25" customHeight="1" spans="1:12">
      <c r="A171" s="241"/>
      <c r="B171" s="47"/>
      <c r="C171" s="242" t="s">
        <v>788</v>
      </c>
      <c r="D171" s="243"/>
      <c r="E171" s="244"/>
      <c r="F171" s="245"/>
      <c r="G171" s="245"/>
      <c r="H171" s="245"/>
      <c r="I171" s="249"/>
      <c r="J171" s="244"/>
      <c r="K171" s="244"/>
      <c r="L171" s="244"/>
    </row>
    <row r="172" ht="17.25" customHeight="1" spans="1:19">
      <c r="A172" s="241"/>
      <c r="B172" s="47" t="s">
        <v>621</v>
      </c>
      <c r="C172" s="104" t="s">
        <v>622</v>
      </c>
      <c r="D172" s="47" t="s">
        <v>612</v>
      </c>
      <c r="E172" s="108"/>
      <c r="F172" s="246"/>
      <c r="G172" s="246"/>
      <c r="H172" s="246">
        <v>0.4</v>
      </c>
      <c r="I172" s="250">
        <v>1</v>
      </c>
      <c r="J172" s="108"/>
      <c r="K172" s="108"/>
      <c r="L172" s="108">
        <f>ROUND(E165*H172*I172,4)</f>
        <v>0.0099</v>
      </c>
      <c r="S172" s="14">
        <v>301</v>
      </c>
    </row>
    <row r="173" ht="55.5" customHeight="1" spans="1:12">
      <c r="A173" s="236">
        <v>22</v>
      </c>
      <c r="B173" s="237" t="s">
        <v>181</v>
      </c>
      <c r="C173" s="238" t="s">
        <v>182</v>
      </c>
      <c r="D173" s="237" t="s">
        <v>114</v>
      </c>
      <c r="E173" s="239">
        <v>0.0184</v>
      </c>
      <c r="F173" s="240"/>
      <c r="G173" s="240"/>
      <c r="H173" s="240"/>
      <c r="I173" s="248"/>
      <c r="J173" s="239"/>
      <c r="K173" s="239"/>
      <c r="L173" s="239"/>
    </row>
    <row r="174" ht="17.25" customHeight="1" spans="1:12">
      <c r="A174" s="241"/>
      <c r="B174" s="47"/>
      <c r="C174" s="242" t="s">
        <v>789</v>
      </c>
      <c r="D174" s="243"/>
      <c r="E174" s="244"/>
      <c r="F174" s="245"/>
      <c r="G174" s="245"/>
      <c r="H174" s="245"/>
      <c r="I174" s="249"/>
      <c r="J174" s="244"/>
      <c r="K174" s="244"/>
      <c r="L174" s="244"/>
    </row>
    <row r="175" ht="17.25" customHeight="1" spans="1:19">
      <c r="A175" s="241"/>
      <c r="B175" s="47" t="s">
        <v>575</v>
      </c>
      <c r="C175" s="104" t="s">
        <v>576</v>
      </c>
      <c r="D175" s="47" t="s">
        <v>518</v>
      </c>
      <c r="E175" s="108"/>
      <c r="F175" s="246">
        <v>1020</v>
      </c>
      <c r="G175" s="246"/>
      <c r="H175" s="246"/>
      <c r="I175" s="250">
        <v>1</v>
      </c>
      <c r="J175" s="108">
        <f>ROUND(E173*F175*I175,4)</f>
        <v>18.768</v>
      </c>
      <c r="K175" s="108"/>
      <c r="L175" s="108"/>
      <c r="S175" s="14">
        <v>1019</v>
      </c>
    </row>
    <row r="176" ht="17.25" customHeight="1" spans="1:19">
      <c r="A176" s="241"/>
      <c r="B176" s="47" t="s">
        <v>521</v>
      </c>
      <c r="C176" s="104" t="s">
        <v>522</v>
      </c>
      <c r="D176" s="47" t="s">
        <v>518</v>
      </c>
      <c r="E176" s="108"/>
      <c r="F176" s="246">
        <v>14.28</v>
      </c>
      <c r="G176" s="246"/>
      <c r="H176" s="246"/>
      <c r="I176" s="250">
        <v>1</v>
      </c>
      <c r="J176" s="108">
        <f>ROUND(E173*F176*I176,4)</f>
        <v>0.2628</v>
      </c>
      <c r="K176" s="108"/>
      <c r="L176" s="108"/>
      <c r="S176" s="14">
        <v>103</v>
      </c>
    </row>
    <row r="177" ht="17.25" customHeight="1" spans="1:19">
      <c r="A177" s="241"/>
      <c r="B177" s="47" t="s">
        <v>569</v>
      </c>
      <c r="C177" s="104" t="s">
        <v>570</v>
      </c>
      <c r="D177" s="47" t="s">
        <v>518</v>
      </c>
      <c r="E177" s="108"/>
      <c r="F177" s="246">
        <v>4.82</v>
      </c>
      <c r="G177" s="246"/>
      <c r="H177" s="246"/>
      <c r="I177" s="250">
        <v>1</v>
      </c>
      <c r="J177" s="108">
        <f>ROUND(E173*F177*I177,4)</f>
        <v>0.0887</v>
      </c>
      <c r="K177" s="108"/>
      <c r="L177" s="108"/>
      <c r="S177" s="14">
        <v>1017</v>
      </c>
    </row>
    <row r="178" ht="17.25" customHeight="1" spans="1:12">
      <c r="A178" s="241"/>
      <c r="B178" s="47"/>
      <c r="C178" s="242" t="s">
        <v>787</v>
      </c>
      <c r="D178" s="243"/>
      <c r="E178" s="244"/>
      <c r="F178" s="245"/>
      <c r="G178" s="245"/>
      <c r="H178" s="245"/>
      <c r="I178" s="249"/>
      <c r="J178" s="244"/>
      <c r="K178" s="244"/>
      <c r="L178" s="244"/>
    </row>
    <row r="179" ht="17.25" customHeight="1" spans="1:19">
      <c r="A179" s="241"/>
      <c r="B179" s="47" t="s">
        <v>596</v>
      </c>
      <c r="C179" s="104" t="s">
        <v>597</v>
      </c>
      <c r="D179" s="47" t="s">
        <v>594</v>
      </c>
      <c r="E179" s="108"/>
      <c r="F179" s="246"/>
      <c r="G179" s="246">
        <v>10.02</v>
      </c>
      <c r="H179" s="246"/>
      <c r="I179" s="250">
        <v>1</v>
      </c>
      <c r="J179" s="108"/>
      <c r="K179" s="108">
        <f>ROUND(E173*G179*I179,4)</f>
        <v>0.1844</v>
      </c>
      <c r="L179" s="108"/>
      <c r="S179" s="14">
        <v>201</v>
      </c>
    </row>
    <row r="180" ht="17.25" customHeight="1" spans="1:12">
      <c r="A180" s="241"/>
      <c r="B180" s="47"/>
      <c r="C180" s="242" t="s">
        <v>788</v>
      </c>
      <c r="D180" s="243"/>
      <c r="E180" s="244"/>
      <c r="F180" s="245"/>
      <c r="G180" s="245"/>
      <c r="H180" s="245"/>
      <c r="I180" s="249"/>
      <c r="J180" s="244"/>
      <c r="K180" s="244"/>
      <c r="L180" s="244"/>
    </row>
    <row r="181" ht="17.25" customHeight="1" spans="1:19">
      <c r="A181" s="241"/>
      <c r="B181" s="47" t="s">
        <v>636</v>
      </c>
      <c r="C181" s="104" t="s">
        <v>637</v>
      </c>
      <c r="D181" s="47" t="s">
        <v>612</v>
      </c>
      <c r="E181" s="108"/>
      <c r="F181" s="246"/>
      <c r="G181" s="246"/>
      <c r="H181" s="246">
        <v>1.16</v>
      </c>
      <c r="I181" s="250">
        <v>1</v>
      </c>
      <c r="J181" s="108"/>
      <c r="K181" s="108"/>
      <c r="L181" s="108">
        <f>ROUND(E173*H181*I181,4)</f>
        <v>0.0213</v>
      </c>
      <c r="S181" s="14">
        <v>306</v>
      </c>
    </row>
    <row r="182" ht="17.25" customHeight="1" spans="1:19">
      <c r="A182" s="241"/>
      <c r="B182" s="47" t="s">
        <v>621</v>
      </c>
      <c r="C182" s="104" t="s">
        <v>622</v>
      </c>
      <c r="D182" s="47" t="s">
        <v>612</v>
      </c>
      <c r="E182" s="108"/>
      <c r="F182" s="246"/>
      <c r="G182" s="246"/>
      <c r="H182" s="246">
        <v>0.32</v>
      </c>
      <c r="I182" s="250">
        <v>1</v>
      </c>
      <c r="J182" s="108"/>
      <c r="K182" s="108"/>
      <c r="L182" s="108">
        <f>ROUND(E173*H182*I182,4)</f>
        <v>0.0059</v>
      </c>
      <c r="S182" s="14">
        <v>301</v>
      </c>
    </row>
    <row r="183" ht="55.5" customHeight="1" spans="1:12">
      <c r="A183" s="236">
        <v>23</v>
      </c>
      <c r="B183" s="237" t="s">
        <v>187</v>
      </c>
      <c r="C183" s="238" t="s">
        <v>188</v>
      </c>
      <c r="D183" s="237" t="s">
        <v>114</v>
      </c>
      <c r="E183" s="239">
        <v>0.1589</v>
      </c>
      <c r="F183" s="240"/>
      <c r="G183" s="240"/>
      <c r="H183" s="240"/>
      <c r="I183" s="248"/>
      <c r="J183" s="239"/>
      <c r="K183" s="239"/>
      <c r="L183" s="239"/>
    </row>
    <row r="184" ht="17.25" customHeight="1" spans="1:12">
      <c r="A184" s="241"/>
      <c r="B184" s="47"/>
      <c r="C184" s="242" t="s">
        <v>789</v>
      </c>
      <c r="D184" s="243"/>
      <c r="E184" s="244"/>
      <c r="F184" s="245"/>
      <c r="G184" s="245"/>
      <c r="H184" s="245"/>
      <c r="I184" s="249"/>
      <c r="J184" s="244"/>
      <c r="K184" s="244"/>
      <c r="L184" s="244"/>
    </row>
    <row r="185" ht="17.25" customHeight="1" spans="1:19">
      <c r="A185" s="241"/>
      <c r="B185" s="47" t="s">
        <v>578</v>
      </c>
      <c r="C185" s="104" t="s">
        <v>579</v>
      </c>
      <c r="D185" s="47" t="s">
        <v>518</v>
      </c>
      <c r="E185" s="108"/>
      <c r="F185" s="246">
        <v>1020</v>
      </c>
      <c r="G185" s="246"/>
      <c r="H185" s="246"/>
      <c r="I185" s="250">
        <v>1</v>
      </c>
      <c r="J185" s="108">
        <f>ROUND(E183*F185*I185,4)</f>
        <v>162.078</v>
      </c>
      <c r="K185" s="108"/>
      <c r="L185" s="108"/>
      <c r="S185" s="14">
        <v>1020</v>
      </c>
    </row>
    <row r="186" ht="17.25" customHeight="1" spans="1:19">
      <c r="A186" s="241"/>
      <c r="B186" s="47" t="s">
        <v>521</v>
      </c>
      <c r="C186" s="104" t="s">
        <v>522</v>
      </c>
      <c r="D186" s="47" t="s">
        <v>518</v>
      </c>
      <c r="E186" s="108"/>
      <c r="F186" s="246">
        <v>14.28</v>
      </c>
      <c r="G186" s="246"/>
      <c r="H186" s="246"/>
      <c r="I186" s="250">
        <v>1</v>
      </c>
      <c r="J186" s="108">
        <f>ROUND(E183*F186*I186,4)</f>
        <v>2.2691</v>
      </c>
      <c r="K186" s="108"/>
      <c r="L186" s="108"/>
      <c r="S186" s="14">
        <v>103</v>
      </c>
    </row>
    <row r="187" ht="17.25" customHeight="1" spans="1:19">
      <c r="A187" s="241"/>
      <c r="B187" s="47" t="s">
        <v>569</v>
      </c>
      <c r="C187" s="104" t="s">
        <v>570</v>
      </c>
      <c r="D187" s="47" t="s">
        <v>518</v>
      </c>
      <c r="E187" s="108"/>
      <c r="F187" s="246">
        <v>6.2</v>
      </c>
      <c r="G187" s="246"/>
      <c r="H187" s="246"/>
      <c r="I187" s="250">
        <v>1</v>
      </c>
      <c r="J187" s="108">
        <f>ROUND(E183*F187*I187,4)</f>
        <v>0.9852</v>
      </c>
      <c r="K187" s="108"/>
      <c r="L187" s="108"/>
      <c r="S187" s="14">
        <v>1017</v>
      </c>
    </row>
    <row r="188" ht="17.25" customHeight="1" spans="1:12">
      <c r="A188" s="241"/>
      <c r="B188" s="47"/>
      <c r="C188" s="242" t="s">
        <v>787</v>
      </c>
      <c r="D188" s="243"/>
      <c r="E188" s="244"/>
      <c r="F188" s="245"/>
      <c r="G188" s="245"/>
      <c r="H188" s="245"/>
      <c r="I188" s="249"/>
      <c r="J188" s="244"/>
      <c r="K188" s="244"/>
      <c r="L188" s="244"/>
    </row>
    <row r="189" ht="17.25" customHeight="1" spans="1:19">
      <c r="A189" s="241"/>
      <c r="B189" s="47" t="s">
        <v>596</v>
      </c>
      <c r="C189" s="104" t="s">
        <v>597</v>
      </c>
      <c r="D189" s="47" t="s">
        <v>594</v>
      </c>
      <c r="E189" s="108"/>
      <c r="F189" s="246"/>
      <c r="G189" s="246">
        <v>8.48</v>
      </c>
      <c r="H189" s="246"/>
      <c r="I189" s="250">
        <v>1</v>
      </c>
      <c r="J189" s="108"/>
      <c r="K189" s="108">
        <f>ROUND(E183*G189*I189,4)</f>
        <v>1.3475</v>
      </c>
      <c r="L189" s="108"/>
      <c r="S189" s="14">
        <v>201</v>
      </c>
    </row>
    <row r="190" ht="17.25" customHeight="1" spans="1:12">
      <c r="A190" s="241"/>
      <c r="B190" s="47"/>
      <c r="C190" s="242" t="s">
        <v>788</v>
      </c>
      <c r="D190" s="243"/>
      <c r="E190" s="244"/>
      <c r="F190" s="245"/>
      <c r="G190" s="245"/>
      <c r="H190" s="245"/>
      <c r="I190" s="249"/>
      <c r="J190" s="244"/>
      <c r="K190" s="244"/>
      <c r="L190" s="244"/>
    </row>
    <row r="191" ht="17.25" customHeight="1" spans="1:19">
      <c r="A191" s="241"/>
      <c r="B191" s="47" t="s">
        <v>636</v>
      </c>
      <c r="C191" s="104" t="s">
        <v>637</v>
      </c>
      <c r="D191" s="47" t="s">
        <v>612</v>
      </c>
      <c r="E191" s="108"/>
      <c r="F191" s="246"/>
      <c r="G191" s="246"/>
      <c r="H191" s="246">
        <v>1.49</v>
      </c>
      <c r="I191" s="250">
        <v>1</v>
      </c>
      <c r="J191" s="108"/>
      <c r="K191" s="108"/>
      <c r="L191" s="108">
        <f>ROUND(E183*H191*I191,4)</f>
        <v>0.2368</v>
      </c>
      <c r="S191" s="14">
        <v>306</v>
      </c>
    </row>
    <row r="192" ht="17.25" customHeight="1" spans="1:19">
      <c r="A192" s="241"/>
      <c r="B192" s="47" t="s">
        <v>621</v>
      </c>
      <c r="C192" s="104" t="s">
        <v>622</v>
      </c>
      <c r="D192" s="47" t="s">
        <v>612</v>
      </c>
      <c r="E192" s="108"/>
      <c r="F192" s="246"/>
      <c r="G192" s="246"/>
      <c r="H192" s="246">
        <v>0.16</v>
      </c>
      <c r="I192" s="250">
        <v>1</v>
      </c>
      <c r="J192" s="108"/>
      <c r="K192" s="108"/>
      <c r="L192" s="108">
        <f>ROUND(E183*H192*I192,4)</f>
        <v>0.0254</v>
      </c>
      <c r="S192" s="14">
        <v>301</v>
      </c>
    </row>
    <row r="193" ht="55.5" customHeight="1" spans="1:12">
      <c r="A193" s="236">
        <v>24</v>
      </c>
      <c r="B193" s="237" t="s">
        <v>193</v>
      </c>
      <c r="C193" s="238" t="s">
        <v>194</v>
      </c>
      <c r="D193" s="237" t="s">
        <v>55</v>
      </c>
      <c r="E193" s="239">
        <v>0.2904</v>
      </c>
      <c r="F193" s="240"/>
      <c r="G193" s="240"/>
      <c r="H193" s="240"/>
      <c r="I193" s="248"/>
      <c r="J193" s="239"/>
      <c r="K193" s="239"/>
      <c r="L193" s="239"/>
    </row>
    <row r="194" ht="17.25" customHeight="1" spans="1:12">
      <c r="A194" s="241"/>
      <c r="B194" s="47"/>
      <c r="C194" s="242" t="s">
        <v>789</v>
      </c>
      <c r="D194" s="243"/>
      <c r="E194" s="244"/>
      <c r="F194" s="245"/>
      <c r="G194" s="245"/>
      <c r="H194" s="245"/>
      <c r="I194" s="249"/>
      <c r="J194" s="244"/>
      <c r="K194" s="244"/>
      <c r="L194" s="244"/>
    </row>
    <row r="195" ht="17.25" customHeight="1" spans="1:19">
      <c r="A195" s="241"/>
      <c r="B195" s="47" t="s">
        <v>560</v>
      </c>
      <c r="C195" s="104" t="s">
        <v>561</v>
      </c>
      <c r="D195" s="47" t="s">
        <v>55</v>
      </c>
      <c r="E195" s="108"/>
      <c r="F195" s="246">
        <v>0.02</v>
      </c>
      <c r="G195" s="246"/>
      <c r="H195" s="246"/>
      <c r="I195" s="250">
        <v>1</v>
      </c>
      <c r="J195" s="108">
        <f>ROUND(E193*F195*I195,4)</f>
        <v>0.0058</v>
      </c>
      <c r="K195" s="108"/>
      <c r="L195" s="108"/>
      <c r="Q195" s="14">
        <v>0</v>
      </c>
      <c r="R195" s="14">
        <v>0</v>
      </c>
      <c r="S195" s="14">
        <v>1014</v>
      </c>
    </row>
    <row r="196" ht="17.25" customHeight="1" spans="1:19">
      <c r="A196" s="241"/>
      <c r="B196" s="47" t="s">
        <v>536</v>
      </c>
      <c r="C196" s="104" t="s">
        <v>537</v>
      </c>
      <c r="D196" s="47" t="s">
        <v>518</v>
      </c>
      <c r="E196" s="108"/>
      <c r="F196" s="246">
        <v>0.048</v>
      </c>
      <c r="G196" s="246"/>
      <c r="H196" s="246"/>
      <c r="I196" s="250">
        <v>1</v>
      </c>
      <c r="J196" s="108">
        <f>ROUND(E193*F196*I196,4)</f>
        <v>0.0139</v>
      </c>
      <c r="K196" s="108"/>
      <c r="L196" s="108"/>
      <c r="Q196" s="14">
        <v>0</v>
      </c>
      <c r="R196" s="14">
        <v>0</v>
      </c>
      <c r="S196" s="14">
        <v>108</v>
      </c>
    </row>
    <row r="197" ht="17.25" customHeight="1" spans="1:19">
      <c r="A197" s="241"/>
      <c r="B197" s="47" t="s">
        <v>539</v>
      </c>
      <c r="C197" s="104" t="s">
        <v>540</v>
      </c>
      <c r="D197" s="47" t="s">
        <v>450</v>
      </c>
      <c r="E197" s="108"/>
      <c r="F197" s="246">
        <v>0.352</v>
      </c>
      <c r="G197" s="246"/>
      <c r="H197" s="246"/>
      <c r="I197" s="250">
        <v>1</v>
      </c>
      <c r="J197" s="108">
        <f>ROUND(E193*F197*I197,4)</f>
        <v>0.1022</v>
      </c>
      <c r="K197" s="108"/>
      <c r="L197" s="108"/>
      <c r="Q197" s="14">
        <v>0</v>
      </c>
      <c r="R197" s="14">
        <v>0</v>
      </c>
      <c r="S197" s="14">
        <v>109</v>
      </c>
    </row>
    <row r="198" ht="17.25" customHeight="1" spans="1:19">
      <c r="A198" s="241"/>
      <c r="B198" s="47" t="s">
        <v>587</v>
      </c>
      <c r="C198" s="104" t="s">
        <v>588</v>
      </c>
      <c r="D198" s="47" t="s">
        <v>518</v>
      </c>
      <c r="E198" s="108"/>
      <c r="F198" s="246">
        <v>415.125</v>
      </c>
      <c r="G198" s="246"/>
      <c r="H198" s="246"/>
      <c r="I198" s="250">
        <v>1</v>
      </c>
      <c r="J198" s="108">
        <f>ROUND(E193*F198*I198,4)</f>
        <v>120.5523</v>
      </c>
      <c r="K198" s="108"/>
      <c r="L198" s="108"/>
      <c r="Q198" s="14">
        <v>0</v>
      </c>
      <c r="R198" s="14">
        <v>0</v>
      </c>
      <c r="S198" s="14">
        <v>1023</v>
      </c>
    </row>
    <row r="199" ht="17.25" customHeight="1" spans="1:19">
      <c r="A199" s="241"/>
      <c r="B199" s="47" t="s">
        <v>513</v>
      </c>
      <c r="C199" s="104" t="s">
        <v>514</v>
      </c>
      <c r="D199" s="47" t="s">
        <v>55</v>
      </c>
      <c r="E199" s="108"/>
      <c r="F199" s="246">
        <v>0.4551</v>
      </c>
      <c r="G199" s="246"/>
      <c r="H199" s="246"/>
      <c r="I199" s="250">
        <v>1</v>
      </c>
      <c r="J199" s="108">
        <f>ROUND(E193*F199*I199,4)</f>
        <v>0.1322</v>
      </c>
      <c r="K199" s="108"/>
      <c r="L199" s="108"/>
      <c r="Q199" s="14">
        <v>0</v>
      </c>
      <c r="R199" s="14">
        <v>0</v>
      </c>
      <c r="S199" s="14">
        <v>102</v>
      </c>
    </row>
    <row r="200" ht="17.25" customHeight="1" spans="1:19">
      <c r="A200" s="241"/>
      <c r="B200" s="47" t="s">
        <v>527</v>
      </c>
      <c r="C200" s="104" t="s">
        <v>528</v>
      </c>
      <c r="D200" s="47" t="s">
        <v>55</v>
      </c>
      <c r="E200" s="108"/>
      <c r="F200" s="246">
        <v>0.886625</v>
      </c>
      <c r="G200" s="246"/>
      <c r="H200" s="246"/>
      <c r="I200" s="250">
        <v>1</v>
      </c>
      <c r="J200" s="108">
        <f>ROUND(E193*F200*I200,4)</f>
        <v>0.2575</v>
      </c>
      <c r="K200" s="108"/>
      <c r="L200" s="108"/>
      <c r="Q200" s="14">
        <v>0</v>
      </c>
      <c r="R200" s="14">
        <v>0</v>
      </c>
      <c r="S200" s="14">
        <v>105</v>
      </c>
    </row>
    <row r="201" ht="17.25" customHeight="1" spans="1:19">
      <c r="A201" s="241"/>
      <c r="B201" s="47" t="s">
        <v>565</v>
      </c>
      <c r="C201" s="104" t="s">
        <v>566</v>
      </c>
      <c r="D201" s="47" t="s">
        <v>567</v>
      </c>
      <c r="E201" s="108"/>
      <c r="F201" s="246">
        <v>189.625</v>
      </c>
      <c r="G201" s="246"/>
      <c r="H201" s="246"/>
      <c r="I201" s="250">
        <v>1</v>
      </c>
      <c r="J201" s="108">
        <f>ROUND(E193*F201*I201,4)</f>
        <v>55.0671</v>
      </c>
      <c r="K201" s="108"/>
      <c r="L201" s="108"/>
      <c r="Q201" s="14">
        <v>0</v>
      </c>
      <c r="R201" s="14">
        <v>0</v>
      </c>
      <c r="S201" s="14">
        <v>1016</v>
      </c>
    </row>
    <row r="202" ht="17.25" customHeight="1" spans="1:15">
      <c r="A202" s="241"/>
      <c r="B202" s="47" t="s">
        <v>793</v>
      </c>
      <c r="C202" s="104" t="s">
        <v>794</v>
      </c>
      <c r="D202" s="47" t="s">
        <v>792</v>
      </c>
      <c r="E202" s="108"/>
      <c r="F202" s="246">
        <v>1</v>
      </c>
      <c r="G202" s="246"/>
      <c r="H202" s="246"/>
      <c r="I202" s="250"/>
      <c r="J202" s="108"/>
      <c r="K202" s="108"/>
      <c r="L202" s="108"/>
      <c r="M202" s="14">
        <v>2185</v>
      </c>
      <c r="O202" s="14">
        <v>2512</v>
      </c>
    </row>
    <row r="203" ht="17.25" customHeight="1" spans="1:12">
      <c r="A203" s="241"/>
      <c r="B203" s="47"/>
      <c r="C203" s="242" t="s">
        <v>787</v>
      </c>
      <c r="D203" s="243"/>
      <c r="E203" s="244"/>
      <c r="F203" s="245"/>
      <c r="G203" s="245"/>
      <c r="H203" s="245"/>
      <c r="I203" s="249"/>
      <c r="J203" s="244"/>
      <c r="K203" s="244"/>
      <c r="L203" s="244"/>
    </row>
    <row r="204" ht="17.25" customHeight="1" spans="1:19">
      <c r="A204" s="241"/>
      <c r="B204" s="47" t="s">
        <v>596</v>
      </c>
      <c r="C204" s="104" t="s">
        <v>597</v>
      </c>
      <c r="D204" s="47" t="s">
        <v>594</v>
      </c>
      <c r="E204" s="108"/>
      <c r="F204" s="246"/>
      <c r="G204" s="246">
        <v>4.5</v>
      </c>
      <c r="H204" s="246"/>
      <c r="I204" s="250">
        <v>1</v>
      </c>
      <c r="J204" s="108"/>
      <c r="K204" s="108">
        <f>ROUND(E193*G204*I204,4)</f>
        <v>1.3068</v>
      </c>
      <c r="L204" s="108"/>
      <c r="S204" s="14">
        <v>201</v>
      </c>
    </row>
    <row r="205" ht="17.25" customHeight="1" spans="1:12">
      <c r="A205" s="241"/>
      <c r="B205" s="47"/>
      <c r="C205" s="242" t="s">
        <v>788</v>
      </c>
      <c r="D205" s="243"/>
      <c r="E205" s="244"/>
      <c r="F205" s="245"/>
      <c r="G205" s="245"/>
      <c r="H205" s="245"/>
      <c r="I205" s="249"/>
      <c r="J205" s="244"/>
      <c r="K205" s="244"/>
      <c r="L205" s="244"/>
    </row>
    <row r="206" ht="17.25" customHeight="1" spans="1:19">
      <c r="A206" s="241"/>
      <c r="B206" s="47" t="s">
        <v>642</v>
      </c>
      <c r="C206" s="104" t="s">
        <v>643</v>
      </c>
      <c r="D206" s="47" t="s">
        <v>612</v>
      </c>
      <c r="E206" s="108"/>
      <c r="F206" s="246"/>
      <c r="G206" s="246"/>
      <c r="H206" s="246">
        <v>0.095</v>
      </c>
      <c r="I206" s="250">
        <v>1</v>
      </c>
      <c r="J206" s="108"/>
      <c r="K206" s="108"/>
      <c r="L206" s="108">
        <f>ROUND(E193*H206*I206,4)</f>
        <v>0.0276</v>
      </c>
      <c r="S206" s="14">
        <v>308</v>
      </c>
    </row>
    <row r="207" ht="17.25" customHeight="1" spans="1:19">
      <c r="A207" s="241"/>
      <c r="B207" s="47" t="s">
        <v>633</v>
      </c>
      <c r="C207" s="104" t="s">
        <v>634</v>
      </c>
      <c r="D207" s="47" t="s">
        <v>612</v>
      </c>
      <c r="E207" s="108"/>
      <c r="F207" s="246"/>
      <c r="G207" s="246"/>
      <c r="H207" s="246">
        <v>0.18</v>
      </c>
      <c r="I207" s="250">
        <v>1</v>
      </c>
      <c r="J207" s="108"/>
      <c r="K207" s="108"/>
      <c r="L207" s="108">
        <f>ROUND(E193*H207*I207,4)</f>
        <v>0.0523</v>
      </c>
      <c r="S207" s="14">
        <v>305</v>
      </c>
    </row>
    <row r="208" ht="42.75" customHeight="1" spans="1:12">
      <c r="A208" s="236">
        <v>25</v>
      </c>
      <c r="B208" s="237" t="s">
        <v>198</v>
      </c>
      <c r="C208" s="238" t="s">
        <v>200</v>
      </c>
      <c r="D208" s="237" t="s">
        <v>55</v>
      </c>
      <c r="E208" s="239">
        <v>0.0702</v>
      </c>
      <c r="F208" s="240"/>
      <c r="G208" s="240"/>
      <c r="H208" s="240"/>
      <c r="I208" s="248"/>
      <c r="J208" s="239"/>
      <c r="K208" s="239"/>
      <c r="L208" s="239"/>
    </row>
    <row r="209" ht="17.25" customHeight="1" spans="1:12">
      <c r="A209" s="241"/>
      <c r="B209" s="47"/>
      <c r="C209" s="242" t="s">
        <v>789</v>
      </c>
      <c r="D209" s="243"/>
      <c r="E209" s="244"/>
      <c r="F209" s="245"/>
      <c r="G209" s="245"/>
      <c r="H209" s="245"/>
      <c r="I209" s="249"/>
      <c r="J209" s="244"/>
      <c r="K209" s="244"/>
      <c r="L209" s="244"/>
    </row>
    <row r="210" ht="17.25" customHeight="1" spans="1:19">
      <c r="A210" s="241"/>
      <c r="B210" s="47" t="s">
        <v>542</v>
      </c>
      <c r="C210" s="104" t="s">
        <v>543</v>
      </c>
      <c r="D210" s="47" t="s">
        <v>526</v>
      </c>
      <c r="E210" s="108"/>
      <c r="F210" s="246">
        <v>539</v>
      </c>
      <c r="G210" s="246"/>
      <c r="H210" s="246"/>
      <c r="I210" s="250">
        <v>1</v>
      </c>
      <c r="J210" s="108">
        <f>ROUND(E208*F210*I210,4)</f>
        <v>37.8378</v>
      </c>
      <c r="K210" s="108"/>
      <c r="L210" s="108"/>
      <c r="S210" s="14">
        <v>1010</v>
      </c>
    </row>
    <row r="211" ht="17.25" customHeight="1" spans="1:19">
      <c r="A211" s="241"/>
      <c r="B211" s="47" t="s">
        <v>587</v>
      </c>
      <c r="C211" s="104" t="s">
        <v>588</v>
      </c>
      <c r="D211" s="47" t="s">
        <v>518</v>
      </c>
      <c r="E211" s="108"/>
      <c r="F211" s="246">
        <v>96.009</v>
      </c>
      <c r="G211" s="246"/>
      <c r="H211" s="246"/>
      <c r="I211" s="250">
        <v>1</v>
      </c>
      <c r="J211" s="108">
        <f>ROUND(E208*F211*I211,4)</f>
        <v>6.7398</v>
      </c>
      <c r="K211" s="108"/>
      <c r="L211" s="108"/>
      <c r="S211" s="14">
        <v>1023</v>
      </c>
    </row>
    <row r="212" ht="17.25" customHeight="1" spans="1:19">
      <c r="A212" s="241"/>
      <c r="B212" s="47" t="s">
        <v>510</v>
      </c>
      <c r="C212" s="104" t="s">
        <v>511</v>
      </c>
      <c r="D212" s="47" t="s">
        <v>55</v>
      </c>
      <c r="E212" s="108"/>
      <c r="F212" s="246">
        <v>0.327</v>
      </c>
      <c r="G212" s="246"/>
      <c r="H212" s="246"/>
      <c r="I212" s="250">
        <v>1</v>
      </c>
      <c r="J212" s="108">
        <f>ROUND(E208*F212*I212,4)</f>
        <v>0.023</v>
      </c>
      <c r="K212" s="108"/>
      <c r="L212" s="108"/>
      <c r="S212" s="14">
        <v>101</v>
      </c>
    </row>
    <row r="213" ht="17.25" customHeight="1" spans="1:19">
      <c r="A213" s="241"/>
      <c r="B213" s="47" t="s">
        <v>565</v>
      </c>
      <c r="C213" s="104" t="s">
        <v>566</v>
      </c>
      <c r="D213" s="47" t="s">
        <v>567</v>
      </c>
      <c r="E213" s="108"/>
      <c r="F213" s="246">
        <v>78</v>
      </c>
      <c r="G213" s="246"/>
      <c r="H213" s="246"/>
      <c r="I213" s="250">
        <v>1</v>
      </c>
      <c r="J213" s="108">
        <f>ROUND(E208*F213*I213,4)</f>
        <v>5.4756</v>
      </c>
      <c r="K213" s="108"/>
      <c r="L213" s="108"/>
      <c r="S213" s="14">
        <v>1016</v>
      </c>
    </row>
    <row r="214" ht="17.25" customHeight="1" spans="1:12">
      <c r="A214" s="241"/>
      <c r="B214" s="47"/>
      <c r="C214" s="242" t="s">
        <v>787</v>
      </c>
      <c r="D214" s="243"/>
      <c r="E214" s="244"/>
      <c r="F214" s="245"/>
      <c r="G214" s="245"/>
      <c r="H214" s="245"/>
      <c r="I214" s="249"/>
      <c r="J214" s="244"/>
      <c r="K214" s="244"/>
      <c r="L214" s="244"/>
    </row>
    <row r="215" ht="17.25" customHeight="1" spans="1:19">
      <c r="A215" s="241"/>
      <c r="B215" s="47" t="s">
        <v>596</v>
      </c>
      <c r="C215" s="104" t="s">
        <v>597</v>
      </c>
      <c r="D215" s="47" t="s">
        <v>594</v>
      </c>
      <c r="E215" s="108"/>
      <c r="F215" s="246"/>
      <c r="G215" s="246">
        <v>1.49</v>
      </c>
      <c r="H215" s="246"/>
      <c r="I215" s="250">
        <v>1</v>
      </c>
      <c r="J215" s="108"/>
      <c r="K215" s="108">
        <f>ROUND(E208*G215*I215,4)</f>
        <v>0.1046</v>
      </c>
      <c r="L215" s="108"/>
      <c r="S215" s="14">
        <v>201</v>
      </c>
    </row>
    <row r="216" ht="42.75" customHeight="1" spans="1:12">
      <c r="A216" s="236">
        <v>26</v>
      </c>
      <c r="B216" s="237" t="s">
        <v>203</v>
      </c>
      <c r="C216" s="238" t="s">
        <v>204</v>
      </c>
      <c r="D216" s="237" t="s">
        <v>55</v>
      </c>
      <c r="E216" s="239">
        <v>4.2414</v>
      </c>
      <c r="F216" s="240"/>
      <c r="G216" s="240"/>
      <c r="H216" s="240"/>
      <c r="I216" s="248"/>
      <c r="J216" s="239"/>
      <c r="K216" s="239"/>
      <c r="L216" s="239"/>
    </row>
    <row r="217" ht="17.25" customHeight="1" spans="1:12">
      <c r="A217" s="241"/>
      <c r="B217" s="47"/>
      <c r="C217" s="242" t="s">
        <v>789</v>
      </c>
      <c r="D217" s="243"/>
      <c r="E217" s="244"/>
      <c r="F217" s="245"/>
      <c r="G217" s="245"/>
      <c r="H217" s="245"/>
      <c r="I217" s="249"/>
      <c r="J217" s="244"/>
      <c r="K217" s="244"/>
      <c r="L217" s="244"/>
    </row>
    <row r="218" ht="17.25" customHeight="1" spans="1:19">
      <c r="A218" s="241"/>
      <c r="B218" s="47" t="s">
        <v>542</v>
      </c>
      <c r="C218" s="104" t="s">
        <v>543</v>
      </c>
      <c r="D218" s="47" t="s">
        <v>526</v>
      </c>
      <c r="E218" s="108"/>
      <c r="F218" s="246">
        <v>550</v>
      </c>
      <c r="G218" s="246"/>
      <c r="H218" s="246"/>
      <c r="I218" s="250">
        <v>1</v>
      </c>
      <c r="J218" s="108">
        <f>ROUND(E216*F218*I218,4)</f>
        <v>2332.77</v>
      </c>
      <c r="K218" s="108"/>
      <c r="L218" s="108"/>
      <c r="S218" s="14">
        <v>1010</v>
      </c>
    </row>
    <row r="219" ht="17.25" customHeight="1" spans="1:19">
      <c r="A219" s="241"/>
      <c r="B219" s="47" t="s">
        <v>587</v>
      </c>
      <c r="C219" s="104" t="s">
        <v>588</v>
      </c>
      <c r="D219" s="47" t="s">
        <v>518</v>
      </c>
      <c r="E219" s="108"/>
      <c r="F219" s="246">
        <v>92.8087</v>
      </c>
      <c r="G219" s="246"/>
      <c r="H219" s="246"/>
      <c r="I219" s="250">
        <v>1</v>
      </c>
      <c r="J219" s="108">
        <f>ROUND(E216*F219*I219,4)</f>
        <v>393.6388</v>
      </c>
      <c r="K219" s="108"/>
      <c r="L219" s="108"/>
      <c r="S219" s="14">
        <v>1023</v>
      </c>
    </row>
    <row r="220" ht="17.25" customHeight="1" spans="1:19">
      <c r="A220" s="241"/>
      <c r="B220" s="47" t="s">
        <v>510</v>
      </c>
      <c r="C220" s="104" t="s">
        <v>511</v>
      </c>
      <c r="D220" s="47" t="s">
        <v>55</v>
      </c>
      <c r="E220" s="108"/>
      <c r="F220" s="246">
        <v>0.3161</v>
      </c>
      <c r="G220" s="246"/>
      <c r="H220" s="246"/>
      <c r="I220" s="250">
        <v>1</v>
      </c>
      <c r="J220" s="108">
        <f>ROUND(E216*F220*I220,4)</f>
        <v>1.3407</v>
      </c>
      <c r="K220" s="108"/>
      <c r="L220" s="108"/>
      <c r="S220" s="14">
        <v>101</v>
      </c>
    </row>
    <row r="221" ht="17.25" customHeight="1" spans="1:19">
      <c r="A221" s="241"/>
      <c r="B221" s="47" t="s">
        <v>565</v>
      </c>
      <c r="C221" s="104" t="s">
        <v>566</v>
      </c>
      <c r="D221" s="47" t="s">
        <v>567</v>
      </c>
      <c r="E221" s="108"/>
      <c r="F221" s="246">
        <v>75.4</v>
      </c>
      <c r="G221" s="246"/>
      <c r="H221" s="246"/>
      <c r="I221" s="250">
        <v>1</v>
      </c>
      <c r="J221" s="108">
        <f>ROUND(E216*F221*I221,4)</f>
        <v>319.8016</v>
      </c>
      <c r="K221" s="108"/>
      <c r="L221" s="108"/>
      <c r="S221" s="14">
        <v>1016</v>
      </c>
    </row>
    <row r="222" ht="17.25" customHeight="1" spans="1:12">
      <c r="A222" s="241"/>
      <c r="B222" s="47"/>
      <c r="C222" s="242" t="s">
        <v>787</v>
      </c>
      <c r="D222" s="243"/>
      <c r="E222" s="244"/>
      <c r="F222" s="245"/>
      <c r="G222" s="245"/>
      <c r="H222" s="245"/>
      <c r="I222" s="249"/>
      <c r="J222" s="244"/>
      <c r="K222" s="244"/>
      <c r="L222" s="244"/>
    </row>
    <row r="223" ht="17.25" customHeight="1" spans="1:19">
      <c r="A223" s="251"/>
      <c r="B223" s="252" t="s">
        <v>596</v>
      </c>
      <c r="C223" s="111" t="s">
        <v>597</v>
      </c>
      <c r="D223" s="252" t="s">
        <v>594</v>
      </c>
      <c r="E223" s="115"/>
      <c r="F223" s="253"/>
      <c r="G223" s="253">
        <v>1.67</v>
      </c>
      <c r="H223" s="253"/>
      <c r="I223" s="255">
        <v>1</v>
      </c>
      <c r="J223" s="115"/>
      <c r="K223" s="115">
        <f>ROUND(E216*G223*I223,4)</f>
        <v>7.0831</v>
      </c>
      <c r="L223" s="115"/>
      <c r="S223" s="14">
        <v>201</v>
      </c>
    </row>
    <row r="224" ht="26.25" customHeight="1" spans="1:4">
      <c r="A224" s="6" t="str">
        <f>A1</f>
        <v>HAO PHÍ VẬT LIỆU, NHÂN CÔNG, MÁY CHO CÁC CÔNG TÁC XÂY DỰNG</v>
      </c>
      <c r="B224" s="254"/>
      <c r="C224" s="254"/>
      <c r="D224" s="254"/>
    </row>
    <row r="225" ht="30" customHeight="1" spans="1:13">
      <c r="A225" s="7" t="s">
        <v>1</v>
      </c>
      <c r="B225" s="254"/>
      <c r="C225" s="254"/>
      <c r="D225" s="254"/>
      <c r="M225" s="247" t="str">
        <f>M2</f>
        <v>VL khác, Máy khác</v>
      </c>
    </row>
    <row r="226" ht="37.5" customHeight="1" spans="1:19">
      <c r="A226" s="8" t="s">
        <v>209</v>
      </c>
      <c r="B226" s="254"/>
      <c r="C226" s="254"/>
      <c r="D226" s="254"/>
      <c r="M226" s="14" t="str">
        <f>M3</f>
        <v>VLK gốc</v>
      </c>
      <c r="N226" s="14" t="str">
        <f>N3</f>
        <v>MK gốc</v>
      </c>
      <c r="O226" s="14" t="str">
        <f>O3</f>
        <v>VLK HT</v>
      </c>
      <c r="P226" s="14" t="str">
        <f>P3</f>
        <v>MK HT</v>
      </c>
      <c r="S226" s="14" t="str">
        <f>S3</f>
        <v>So sánh</v>
      </c>
    </row>
    <row r="227" ht="18.75" customHeight="1" spans="1:16">
      <c r="A227" s="231" t="str">
        <f t="shared" ref="A227:L227" si="0">A4</f>
        <v>STT</v>
      </c>
      <c r="B227" s="98" t="str">
        <f t="shared" si="0"/>
        <v>Mã hiệu</v>
      </c>
      <c r="C227" s="98" t="str">
        <f t="shared" si="0"/>
        <v>Tên công tác / vật tư</v>
      </c>
      <c r="D227" s="98" t="str">
        <f t="shared" si="0"/>
        <v>Đơn vị</v>
      </c>
      <c r="E227" s="232" t="str">
        <f t="shared" si="0"/>
        <v>Khối lượng</v>
      </c>
      <c r="F227" s="233" t="str">
        <f t="shared" si="0"/>
        <v>Định mức hao phí</v>
      </c>
      <c r="G227" s="233">
        <f t="shared" si="0"/>
        <v>0</v>
      </c>
      <c r="H227" s="43">
        <f t="shared" si="0"/>
        <v>0</v>
      </c>
      <c r="I227" s="232" t="str">
        <f t="shared" si="0"/>
        <v>Hệ số</v>
      </c>
      <c r="J227" s="233" t="str">
        <f t="shared" si="0"/>
        <v>Khối lượng hao phí</v>
      </c>
      <c r="K227" s="233">
        <f t="shared" si="0"/>
        <v>0</v>
      </c>
      <c r="L227" s="43">
        <f t="shared" si="0"/>
        <v>0</v>
      </c>
      <c r="M227" s="14">
        <f>SUM(M229:M597)</f>
        <v>798140</v>
      </c>
      <c r="N227" s="14">
        <f>SUM(N229:N597)</f>
        <v>222481</v>
      </c>
      <c r="O227" s="14">
        <f>SUM(O229:O597)</f>
        <v>1830427</v>
      </c>
      <c r="P227" s="14">
        <f>SUM(P229:P597)</f>
        <v>267501</v>
      </c>
    </row>
    <row r="228" ht="18.75" customHeight="1" spans="1:12">
      <c r="A228" s="234">
        <f t="shared" ref="A228:L228" si="1">A5</f>
        <v>0</v>
      </c>
      <c r="B228" s="101">
        <f t="shared" si="1"/>
        <v>0</v>
      </c>
      <c r="C228" s="101">
        <f t="shared" si="1"/>
        <v>0</v>
      </c>
      <c r="D228" s="101">
        <f t="shared" si="1"/>
        <v>0</v>
      </c>
      <c r="E228" s="235">
        <f t="shared" si="1"/>
        <v>0</v>
      </c>
      <c r="F228" s="235" t="str">
        <f t="shared" si="1"/>
        <v>Vật liệu</v>
      </c>
      <c r="G228" s="235" t="str">
        <f t="shared" si="1"/>
        <v>N. công</v>
      </c>
      <c r="H228" s="235" t="str">
        <f t="shared" si="1"/>
        <v>Máy</v>
      </c>
      <c r="I228" s="235">
        <f t="shared" si="1"/>
        <v>0</v>
      </c>
      <c r="J228" s="235" t="str">
        <f t="shared" si="1"/>
        <v>Vật liệu</v>
      </c>
      <c r="K228" s="235" t="str">
        <f t="shared" si="1"/>
        <v>Nhân công</v>
      </c>
      <c r="L228" s="235" t="str">
        <f t="shared" si="1"/>
        <v>Máy</v>
      </c>
    </row>
    <row r="229" ht="67.5" customHeight="1" spans="1:12">
      <c r="A229" s="241">
        <v>1</v>
      </c>
      <c r="B229" s="47" t="s">
        <v>211</v>
      </c>
      <c r="C229" s="104" t="s">
        <v>212</v>
      </c>
      <c r="D229" s="47" t="s">
        <v>107</v>
      </c>
      <c r="E229" s="108">
        <v>1.1853</v>
      </c>
      <c r="F229" s="246"/>
      <c r="G229" s="246"/>
      <c r="H229" s="246"/>
      <c r="I229" s="250"/>
      <c r="J229" s="108"/>
      <c r="K229" s="108"/>
      <c r="L229" s="108"/>
    </row>
    <row r="230" ht="17.25" customHeight="1" spans="1:12">
      <c r="A230" s="241"/>
      <c r="B230" s="47"/>
      <c r="C230" s="242" t="s">
        <v>789</v>
      </c>
      <c r="D230" s="243"/>
      <c r="E230" s="244"/>
      <c r="F230" s="245"/>
      <c r="G230" s="245"/>
      <c r="H230" s="245"/>
      <c r="I230" s="249"/>
      <c r="J230" s="244"/>
      <c r="K230" s="244"/>
      <c r="L230" s="244"/>
    </row>
    <row r="231" ht="17.25" customHeight="1" spans="1:19">
      <c r="A231" s="241"/>
      <c r="B231" s="47" t="s">
        <v>581</v>
      </c>
      <c r="C231" s="104" t="s">
        <v>582</v>
      </c>
      <c r="D231" s="47" t="s">
        <v>583</v>
      </c>
      <c r="E231" s="108"/>
      <c r="F231" s="246">
        <v>10.5</v>
      </c>
      <c r="G231" s="246"/>
      <c r="H231" s="246"/>
      <c r="I231" s="250">
        <v>1</v>
      </c>
      <c r="J231" s="108">
        <f>ROUND(E229*F231*I231,4)</f>
        <v>12.4457</v>
      </c>
      <c r="K231" s="108"/>
      <c r="L231" s="108"/>
      <c r="Q231" s="14">
        <v>0</v>
      </c>
      <c r="R231" s="14">
        <v>0</v>
      </c>
      <c r="S231" s="14">
        <v>1118</v>
      </c>
    </row>
    <row r="232" ht="17.25" customHeight="1" spans="1:19">
      <c r="A232" s="241"/>
      <c r="B232" s="47" t="s">
        <v>562</v>
      </c>
      <c r="C232" s="104" t="s">
        <v>563</v>
      </c>
      <c r="D232" s="47" t="s">
        <v>518</v>
      </c>
      <c r="E232" s="108"/>
      <c r="F232" s="246">
        <v>13.73</v>
      </c>
      <c r="G232" s="246"/>
      <c r="H232" s="246"/>
      <c r="I232" s="250">
        <v>1</v>
      </c>
      <c r="J232" s="108">
        <f>ROUND(E229*F232*I232,4)</f>
        <v>16.2742</v>
      </c>
      <c r="K232" s="108"/>
      <c r="L232" s="108"/>
      <c r="Q232" s="14">
        <v>0</v>
      </c>
      <c r="R232" s="14">
        <v>0</v>
      </c>
      <c r="S232" s="14">
        <v>1112</v>
      </c>
    </row>
    <row r="233" ht="17.25" customHeight="1" spans="1:15">
      <c r="A233" s="241"/>
      <c r="B233" s="47" t="s">
        <v>793</v>
      </c>
      <c r="C233" s="104" t="s">
        <v>794</v>
      </c>
      <c r="D233" s="47" t="s">
        <v>792</v>
      </c>
      <c r="E233" s="108"/>
      <c r="F233" s="246">
        <v>5</v>
      </c>
      <c r="G233" s="246"/>
      <c r="H233" s="246"/>
      <c r="I233" s="250"/>
      <c r="J233" s="108"/>
      <c r="K233" s="108"/>
      <c r="L233" s="108"/>
      <c r="M233" s="14">
        <v>0</v>
      </c>
      <c r="O233" s="14">
        <v>180602</v>
      </c>
    </row>
    <row r="234" ht="17.25" customHeight="1" spans="1:12">
      <c r="A234" s="241"/>
      <c r="B234" s="47"/>
      <c r="C234" s="242" t="s">
        <v>787</v>
      </c>
      <c r="D234" s="243"/>
      <c r="E234" s="244"/>
      <c r="F234" s="245"/>
      <c r="G234" s="245"/>
      <c r="H234" s="245"/>
      <c r="I234" s="249"/>
      <c r="J234" s="244"/>
      <c r="K234" s="244"/>
      <c r="L234" s="244"/>
    </row>
    <row r="235" ht="17.25" customHeight="1" spans="1:19">
      <c r="A235" s="241"/>
      <c r="B235" s="47" t="s">
        <v>602</v>
      </c>
      <c r="C235" s="104" t="s">
        <v>603</v>
      </c>
      <c r="D235" s="47" t="s">
        <v>594</v>
      </c>
      <c r="E235" s="108"/>
      <c r="F235" s="246"/>
      <c r="G235" s="246">
        <v>24.75</v>
      </c>
      <c r="H235" s="246"/>
      <c r="I235" s="250">
        <v>1</v>
      </c>
      <c r="J235" s="108"/>
      <c r="K235" s="108">
        <f>ROUND(E229*G235*I235,4)</f>
        <v>29.3362</v>
      </c>
      <c r="L235" s="108"/>
      <c r="S235" s="14">
        <v>212</v>
      </c>
    </row>
    <row r="236" ht="17.25" customHeight="1" spans="1:12">
      <c r="A236" s="241"/>
      <c r="B236" s="47"/>
      <c r="C236" s="242" t="s">
        <v>788</v>
      </c>
      <c r="D236" s="243"/>
      <c r="E236" s="244"/>
      <c r="F236" s="245"/>
      <c r="G236" s="245"/>
      <c r="H236" s="245"/>
      <c r="I236" s="249"/>
      <c r="J236" s="244"/>
      <c r="K236" s="244"/>
      <c r="L236" s="244"/>
    </row>
    <row r="237" ht="17.25" customHeight="1" spans="1:19">
      <c r="A237" s="241"/>
      <c r="B237" s="47" t="s">
        <v>659</v>
      </c>
      <c r="C237" s="104" t="s">
        <v>657</v>
      </c>
      <c r="D237" s="47" t="s">
        <v>612</v>
      </c>
      <c r="E237" s="108"/>
      <c r="F237" s="246"/>
      <c r="G237" s="246"/>
      <c r="H237" s="246">
        <v>0.25</v>
      </c>
      <c r="I237" s="250">
        <v>1</v>
      </c>
      <c r="J237" s="108"/>
      <c r="K237" s="108"/>
      <c r="L237" s="108">
        <f>ROUND(E229*H237*I237,4)</f>
        <v>0.2963</v>
      </c>
      <c r="S237" s="14">
        <v>318</v>
      </c>
    </row>
    <row r="238" ht="17.25" customHeight="1" spans="1:19">
      <c r="A238" s="241"/>
      <c r="B238" s="47" t="s">
        <v>614</v>
      </c>
      <c r="C238" s="104" t="s">
        <v>615</v>
      </c>
      <c r="D238" s="47" t="s">
        <v>612</v>
      </c>
      <c r="E238" s="108"/>
      <c r="F238" s="246"/>
      <c r="G238" s="246"/>
      <c r="H238" s="246">
        <v>0.25</v>
      </c>
      <c r="I238" s="250">
        <v>1</v>
      </c>
      <c r="J238" s="108"/>
      <c r="K238" s="108"/>
      <c r="L238" s="108">
        <f>ROUND(E229*H238*I238,4)</f>
        <v>0.2963</v>
      </c>
      <c r="S238" s="14">
        <v>311</v>
      </c>
    </row>
    <row r="239" ht="17.25" customHeight="1" spans="1:16">
      <c r="A239" s="241"/>
      <c r="B239" s="47" t="s">
        <v>790</v>
      </c>
      <c r="C239" s="104" t="s">
        <v>791</v>
      </c>
      <c r="D239" s="47" t="s">
        <v>792</v>
      </c>
      <c r="E239" s="108"/>
      <c r="F239" s="246"/>
      <c r="G239" s="246"/>
      <c r="H239" s="246">
        <v>2</v>
      </c>
      <c r="I239" s="250"/>
      <c r="J239" s="108"/>
      <c r="K239" s="108"/>
      <c r="L239" s="108"/>
      <c r="N239" s="14">
        <v>15140</v>
      </c>
      <c r="P239" s="14">
        <v>21476</v>
      </c>
    </row>
    <row r="240" ht="55.5" customHeight="1" spans="1:12">
      <c r="A240" s="241">
        <v>2</v>
      </c>
      <c r="B240" s="47" t="s">
        <v>221</v>
      </c>
      <c r="C240" s="104" t="s">
        <v>222</v>
      </c>
      <c r="D240" s="47" t="s">
        <v>114</v>
      </c>
      <c r="E240" s="108">
        <v>0.1416</v>
      </c>
      <c r="F240" s="246"/>
      <c r="G240" s="246"/>
      <c r="H240" s="246"/>
      <c r="I240" s="250"/>
      <c r="J240" s="108"/>
      <c r="K240" s="108"/>
      <c r="L240" s="108"/>
    </row>
    <row r="241" ht="17.25" customHeight="1" spans="1:12">
      <c r="A241" s="241"/>
      <c r="B241" s="47"/>
      <c r="C241" s="242" t="s">
        <v>789</v>
      </c>
      <c r="D241" s="243"/>
      <c r="E241" s="244"/>
      <c r="F241" s="245"/>
      <c r="G241" s="245"/>
      <c r="H241" s="245"/>
      <c r="I241" s="249"/>
      <c r="J241" s="244"/>
      <c r="K241" s="244"/>
      <c r="L241" s="244"/>
    </row>
    <row r="242" ht="17.25" customHeight="1" spans="1:19">
      <c r="A242" s="241"/>
      <c r="B242" s="47" t="s">
        <v>572</v>
      </c>
      <c r="C242" s="104" t="s">
        <v>573</v>
      </c>
      <c r="D242" s="47" t="s">
        <v>518</v>
      </c>
      <c r="E242" s="108"/>
      <c r="F242" s="246">
        <v>1005</v>
      </c>
      <c r="G242" s="246"/>
      <c r="H242" s="246"/>
      <c r="I242" s="250">
        <v>1</v>
      </c>
      <c r="J242" s="108">
        <f>ROUND(E240*F242*I242,4)</f>
        <v>142.308</v>
      </c>
      <c r="K242" s="108"/>
      <c r="L242" s="108"/>
      <c r="S242" s="14">
        <v>1115</v>
      </c>
    </row>
    <row r="243" ht="17.25" customHeight="1" spans="1:19">
      <c r="A243" s="241"/>
      <c r="B243" s="47" t="s">
        <v>521</v>
      </c>
      <c r="C243" s="104" t="s">
        <v>522</v>
      </c>
      <c r="D243" s="47" t="s">
        <v>518</v>
      </c>
      <c r="E243" s="108"/>
      <c r="F243" s="246">
        <v>21.42</v>
      </c>
      <c r="G243" s="246"/>
      <c r="H243" s="246"/>
      <c r="I243" s="250">
        <v>1</v>
      </c>
      <c r="J243" s="108">
        <f>ROUND(E240*F243*I243,4)</f>
        <v>3.0331</v>
      </c>
      <c r="K243" s="108"/>
      <c r="L243" s="108"/>
      <c r="S243" s="14">
        <v>112</v>
      </c>
    </row>
    <row r="244" ht="17.25" customHeight="1" spans="1:12">
      <c r="A244" s="241"/>
      <c r="B244" s="47"/>
      <c r="C244" s="242" t="s">
        <v>787</v>
      </c>
      <c r="D244" s="243"/>
      <c r="E244" s="244"/>
      <c r="F244" s="245"/>
      <c r="G244" s="245"/>
      <c r="H244" s="245"/>
      <c r="I244" s="249"/>
      <c r="J244" s="244"/>
      <c r="K244" s="244"/>
      <c r="L244" s="244"/>
    </row>
    <row r="245" ht="17.25" customHeight="1" spans="1:19">
      <c r="A245" s="241"/>
      <c r="B245" s="47" t="s">
        <v>596</v>
      </c>
      <c r="C245" s="104" t="s">
        <v>597</v>
      </c>
      <c r="D245" s="47" t="s">
        <v>594</v>
      </c>
      <c r="E245" s="108"/>
      <c r="F245" s="246"/>
      <c r="G245" s="246">
        <v>16.78</v>
      </c>
      <c r="H245" s="246"/>
      <c r="I245" s="250">
        <v>1</v>
      </c>
      <c r="J245" s="108"/>
      <c r="K245" s="108">
        <f>ROUND(E240*G245*I245,4)</f>
        <v>2.376</v>
      </c>
      <c r="L245" s="108"/>
      <c r="S245" s="14">
        <v>211</v>
      </c>
    </row>
    <row r="246" ht="17.25" customHeight="1" spans="1:12">
      <c r="A246" s="241"/>
      <c r="B246" s="47"/>
      <c r="C246" s="242" t="s">
        <v>788</v>
      </c>
      <c r="D246" s="243"/>
      <c r="E246" s="244"/>
      <c r="F246" s="245"/>
      <c r="G246" s="245"/>
      <c r="H246" s="245"/>
      <c r="I246" s="249"/>
      <c r="J246" s="244"/>
      <c r="K246" s="244"/>
      <c r="L246" s="244"/>
    </row>
    <row r="247" ht="17.25" customHeight="1" spans="1:19">
      <c r="A247" s="241"/>
      <c r="B247" s="47" t="s">
        <v>621</v>
      </c>
      <c r="C247" s="104" t="s">
        <v>622</v>
      </c>
      <c r="D247" s="47" t="s">
        <v>612</v>
      </c>
      <c r="E247" s="108"/>
      <c r="F247" s="246"/>
      <c r="G247" s="246"/>
      <c r="H247" s="246">
        <v>0.4</v>
      </c>
      <c r="I247" s="250">
        <v>1</v>
      </c>
      <c r="J247" s="108"/>
      <c r="K247" s="108"/>
      <c r="L247" s="108">
        <f>ROUND(E240*H247*I247,4)</f>
        <v>0.0566</v>
      </c>
      <c r="S247" s="14">
        <v>312</v>
      </c>
    </row>
    <row r="248" ht="17.25" customHeight="1" spans="1:19">
      <c r="A248" s="241"/>
      <c r="B248" s="47" t="s">
        <v>656</v>
      </c>
      <c r="C248" s="104" t="s">
        <v>657</v>
      </c>
      <c r="D248" s="47" t="s">
        <v>612</v>
      </c>
      <c r="E248" s="108"/>
      <c r="F248" s="246"/>
      <c r="G248" s="246"/>
      <c r="H248" s="246">
        <v>0.03</v>
      </c>
      <c r="I248" s="250">
        <v>1</v>
      </c>
      <c r="J248" s="108"/>
      <c r="K248" s="108"/>
      <c r="L248" s="108">
        <f>ROUND(E240*H248*I248,4)</f>
        <v>0.0042</v>
      </c>
      <c r="S248" s="14">
        <v>319</v>
      </c>
    </row>
    <row r="249" ht="17.25" customHeight="1" spans="1:19">
      <c r="A249" s="241"/>
      <c r="B249" s="47" t="s">
        <v>614</v>
      </c>
      <c r="C249" s="104" t="s">
        <v>615</v>
      </c>
      <c r="D249" s="47" t="s">
        <v>612</v>
      </c>
      <c r="E249" s="108"/>
      <c r="F249" s="246"/>
      <c r="G249" s="246"/>
      <c r="H249" s="246">
        <v>0.03</v>
      </c>
      <c r="I249" s="250">
        <v>1</v>
      </c>
      <c r="J249" s="108"/>
      <c r="K249" s="108"/>
      <c r="L249" s="108">
        <f>ROUND(E240*H249*I249,4)</f>
        <v>0.0042</v>
      </c>
      <c r="S249" s="14">
        <v>311</v>
      </c>
    </row>
    <row r="250" ht="17.25" customHeight="1" spans="1:16">
      <c r="A250" s="241"/>
      <c r="B250" s="47" t="s">
        <v>790</v>
      </c>
      <c r="C250" s="104" t="s">
        <v>791</v>
      </c>
      <c r="D250" s="47" t="s">
        <v>792</v>
      </c>
      <c r="E250" s="108"/>
      <c r="F250" s="246"/>
      <c r="G250" s="246"/>
      <c r="H250" s="246">
        <v>2</v>
      </c>
      <c r="I250" s="250"/>
      <c r="J250" s="108"/>
      <c r="K250" s="108"/>
      <c r="L250" s="108"/>
      <c r="N250" s="14">
        <v>492</v>
      </c>
      <c r="P250" s="14">
        <v>580</v>
      </c>
    </row>
    <row r="251" ht="55.5" customHeight="1" spans="1:12">
      <c r="A251" s="241">
        <v>3</v>
      </c>
      <c r="B251" s="47" t="s">
        <v>229</v>
      </c>
      <c r="C251" s="104" t="s">
        <v>230</v>
      </c>
      <c r="D251" s="47" t="s">
        <v>114</v>
      </c>
      <c r="E251" s="108">
        <v>0.978</v>
      </c>
      <c r="F251" s="246"/>
      <c r="G251" s="246"/>
      <c r="H251" s="246"/>
      <c r="I251" s="250"/>
      <c r="J251" s="108"/>
      <c r="K251" s="108"/>
      <c r="L251" s="108"/>
    </row>
    <row r="252" ht="17.25" customHeight="1" spans="1:12">
      <c r="A252" s="241"/>
      <c r="B252" s="47"/>
      <c r="C252" s="242" t="s">
        <v>789</v>
      </c>
      <c r="D252" s="243"/>
      <c r="E252" s="244"/>
      <c r="F252" s="245"/>
      <c r="G252" s="245"/>
      <c r="H252" s="245"/>
      <c r="I252" s="249"/>
      <c r="J252" s="244"/>
      <c r="K252" s="244"/>
      <c r="L252" s="244"/>
    </row>
    <row r="253" ht="17.25" customHeight="1" spans="1:19">
      <c r="A253" s="241"/>
      <c r="B253" s="47" t="s">
        <v>575</v>
      </c>
      <c r="C253" s="104" t="s">
        <v>576</v>
      </c>
      <c r="D253" s="47" t="s">
        <v>518</v>
      </c>
      <c r="E253" s="108"/>
      <c r="F253" s="246">
        <v>1020</v>
      </c>
      <c r="G253" s="246"/>
      <c r="H253" s="246"/>
      <c r="I253" s="250">
        <v>1</v>
      </c>
      <c r="J253" s="108">
        <f>ROUND(E251*F253*I253,4)</f>
        <v>997.56</v>
      </c>
      <c r="K253" s="108"/>
      <c r="L253" s="108"/>
      <c r="S253" s="14">
        <v>1116</v>
      </c>
    </row>
    <row r="254" ht="17.25" customHeight="1" spans="1:19">
      <c r="A254" s="241"/>
      <c r="B254" s="47" t="s">
        <v>521</v>
      </c>
      <c r="C254" s="104" t="s">
        <v>522</v>
      </c>
      <c r="D254" s="47" t="s">
        <v>518</v>
      </c>
      <c r="E254" s="108"/>
      <c r="F254" s="246">
        <v>14.28</v>
      </c>
      <c r="G254" s="246"/>
      <c r="H254" s="246"/>
      <c r="I254" s="250">
        <v>1</v>
      </c>
      <c r="J254" s="108">
        <f>ROUND(E251*F254*I254,4)</f>
        <v>13.9658</v>
      </c>
      <c r="K254" s="108"/>
      <c r="L254" s="108"/>
      <c r="S254" s="14">
        <v>112</v>
      </c>
    </row>
    <row r="255" ht="17.25" customHeight="1" spans="1:19">
      <c r="A255" s="241"/>
      <c r="B255" s="47" t="s">
        <v>569</v>
      </c>
      <c r="C255" s="104" t="s">
        <v>570</v>
      </c>
      <c r="D255" s="47" t="s">
        <v>518</v>
      </c>
      <c r="E255" s="108"/>
      <c r="F255" s="246">
        <v>4.82</v>
      </c>
      <c r="G255" s="246"/>
      <c r="H255" s="246"/>
      <c r="I255" s="250">
        <v>1</v>
      </c>
      <c r="J255" s="108">
        <f>ROUND(E251*F255*I255,4)</f>
        <v>4.714</v>
      </c>
      <c r="K255" s="108"/>
      <c r="L255" s="108"/>
      <c r="S255" s="14">
        <v>1114</v>
      </c>
    </row>
    <row r="256" ht="17.25" customHeight="1" spans="1:12">
      <c r="A256" s="241"/>
      <c r="B256" s="47"/>
      <c r="C256" s="242" t="s">
        <v>787</v>
      </c>
      <c r="D256" s="243"/>
      <c r="E256" s="244"/>
      <c r="F256" s="245"/>
      <c r="G256" s="245"/>
      <c r="H256" s="245"/>
      <c r="I256" s="249"/>
      <c r="J256" s="244"/>
      <c r="K256" s="244"/>
      <c r="L256" s="244"/>
    </row>
    <row r="257" ht="17.25" customHeight="1" spans="1:19">
      <c r="A257" s="241"/>
      <c r="B257" s="47" t="s">
        <v>596</v>
      </c>
      <c r="C257" s="104" t="s">
        <v>597</v>
      </c>
      <c r="D257" s="47" t="s">
        <v>594</v>
      </c>
      <c r="E257" s="108"/>
      <c r="F257" s="246"/>
      <c r="G257" s="246">
        <v>11.21</v>
      </c>
      <c r="H257" s="246"/>
      <c r="I257" s="250">
        <v>1</v>
      </c>
      <c r="J257" s="108"/>
      <c r="K257" s="108">
        <f>ROUND(E251*G257*I257,4)</f>
        <v>10.9634</v>
      </c>
      <c r="L257" s="108"/>
      <c r="S257" s="14">
        <v>211</v>
      </c>
    </row>
    <row r="258" ht="17.25" customHeight="1" spans="1:12">
      <c r="A258" s="241"/>
      <c r="B258" s="47"/>
      <c r="C258" s="242" t="s">
        <v>788</v>
      </c>
      <c r="D258" s="243"/>
      <c r="E258" s="244"/>
      <c r="F258" s="245"/>
      <c r="G258" s="245"/>
      <c r="H258" s="245"/>
      <c r="I258" s="249"/>
      <c r="J258" s="244"/>
      <c r="K258" s="244"/>
      <c r="L258" s="244"/>
    </row>
    <row r="259" ht="17.25" customHeight="1" spans="1:19">
      <c r="A259" s="241"/>
      <c r="B259" s="47" t="s">
        <v>636</v>
      </c>
      <c r="C259" s="104" t="s">
        <v>637</v>
      </c>
      <c r="D259" s="47" t="s">
        <v>612</v>
      </c>
      <c r="E259" s="108"/>
      <c r="F259" s="246"/>
      <c r="G259" s="246"/>
      <c r="H259" s="246">
        <v>1.16</v>
      </c>
      <c r="I259" s="250">
        <v>1</v>
      </c>
      <c r="J259" s="108"/>
      <c r="K259" s="108"/>
      <c r="L259" s="108">
        <f>ROUND(E251*H259*I259,4)</f>
        <v>1.1345</v>
      </c>
      <c r="S259" s="14">
        <v>314</v>
      </c>
    </row>
    <row r="260" ht="17.25" customHeight="1" spans="1:19">
      <c r="A260" s="241"/>
      <c r="B260" s="47" t="s">
        <v>621</v>
      </c>
      <c r="C260" s="104" t="s">
        <v>622</v>
      </c>
      <c r="D260" s="47" t="s">
        <v>612</v>
      </c>
      <c r="E260" s="108"/>
      <c r="F260" s="246"/>
      <c r="G260" s="246"/>
      <c r="H260" s="246">
        <v>0.32</v>
      </c>
      <c r="I260" s="250">
        <v>1</v>
      </c>
      <c r="J260" s="108"/>
      <c r="K260" s="108"/>
      <c r="L260" s="108">
        <f>ROUND(E251*H260*I260,4)</f>
        <v>0.313</v>
      </c>
      <c r="S260" s="14">
        <v>312</v>
      </c>
    </row>
    <row r="261" ht="17.25" customHeight="1" spans="1:19">
      <c r="A261" s="241"/>
      <c r="B261" s="47" t="s">
        <v>656</v>
      </c>
      <c r="C261" s="104" t="s">
        <v>657</v>
      </c>
      <c r="D261" s="47" t="s">
        <v>612</v>
      </c>
      <c r="E261" s="108"/>
      <c r="F261" s="246"/>
      <c r="G261" s="246"/>
      <c r="H261" s="246">
        <v>0.025</v>
      </c>
      <c r="I261" s="250">
        <v>1</v>
      </c>
      <c r="J261" s="108"/>
      <c r="K261" s="108"/>
      <c r="L261" s="108">
        <f>ROUND(E251*H261*I261,4)</f>
        <v>0.0245</v>
      </c>
      <c r="S261" s="14">
        <v>319</v>
      </c>
    </row>
    <row r="262" ht="17.25" customHeight="1" spans="1:19">
      <c r="A262" s="241"/>
      <c r="B262" s="47" t="s">
        <v>614</v>
      </c>
      <c r="C262" s="104" t="s">
        <v>615</v>
      </c>
      <c r="D262" s="47" t="s">
        <v>612</v>
      </c>
      <c r="E262" s="108"/>
      <c r="F262" s="246"/>
      <c r="G262" s="246"/>
      <c r="H262" s="246">
        <v>0.025</v>
      </c>
      <c r="I262" s="250">
        <v>1</v>
      </c>
      <c r="J262" s="108"/>
      <c r="K262" s="108"/>
      <c r="L262" s="108">
        <f>ROUND(E251*H262*I262,4)</f>
        <v>0.0245</v>
      </c>
      <c r="S262" s="14">
        <v>311</v>
      </c>
    </row>
    <row r="263" ht="17.25" customHeight="1" spans="1:16">
      <c r="A263" s="241"/>
      <c r="B263" s="47" t="s">
        <v>790</v>
      </c>
      <c r="C263" s="104" t="s">
        <v>791</v>
      </c>
      <c r="D263" s="47" t="s">
        <v>792</v>
      </c>
      <c r="E263" s="108"/>
      <c r="F263" s="246"/>
      <c r="G263" s="246"/>
      <c r="H263" s="246">
        <v>2</v>
      </c>
      <c r="I263" s="250"/>
      <c r="J263" s="108"/>
      <c r="K263" s="108"/>
      <c r="L263" s="108"/>
      <c r="N263" s="14">
        <v>10221</v>
      </c>
      <c r="P263" s="14">
        <v>11471</v>
      </c>
    </row>
    <row r="264" ht="55.5" customHeight="1" spans="1:12">
      <c r="A264" s="241">
        <v>4</v>
      </c>
      <c r="B264" s="47" t="s">
        <v>238</v>
      </c>
      <c r="C264" s="104" t="s">
        <v>239</v>
      </c>
      <c r="D264" s="47" t="s">
        <v>114</v>
      </c>
      <c r="E264" s="108">
        <v>0.3108</v>
      </c>
      <c r="F264" s="246"/>
      <c r="G264" s="246"/>
      <c r="H264" s="246"/>
      <c r="I264" s="250"/>
      <c r="J264" s="108"/>
      <c r="K264" s="108"/>
      <c r="L264" s="108"/>
    </row>
    <row r="265" ht="17.25" customHeight="1" spans="1:12">
      <c r="A265" s="241"/>
      <c r="B265" s="47"/>
      <c r="C265" s="242" t="s">
        <v>789</v>
      </c>
      <c r="D265" s="243"/>
      <c r="E265" s="244"/>
      <c r="F265" s="245"/>
      <c r="G265" s="245"/>
      <c r="H265" s="245"/>
      <c r="I265" s="249"/>
      <c r="J265" s="244"/>
      <c r="K265" s="244"/>
      <c r="L265" s="244"/>
    </row>
    <row r="266" ht="17.25" customHeight="1" spans="1:19">
      <c r="A266" s="241"/>
      <c r="B266" s="47" t="s">
        <v>578</v>
      </c>
      <c r="C266" s="104" t="s">
        <v>579</v>
      </c>
      <c r="D266" s="47" t="s">
        <v>518</v>
      </c>
      <c r="E266" s="108"/>
      <c r="F266" s="246">
        <v>1020</v>
      </c>
      <c r="G266" s="246"/>
      <c r="H266" s="246"/>
      <c r="I266" s="250">
        <v>1</v>
      </c>
      <c r="J266" s="108">
        <f>ROUND(E264*F266*I266,4)</f>
        <v>317.016</v>
      </c>
      <c r="K266" s="108"/>
      <c r="L266" s="108"/>
      <c r="S266" s="14">
        <v>1117</v>
      </c>
    </row>
    <row r="267" ht="17.25" customHeight="1" spans="1:19">
      <c r="A267" s="241"/>
      <c r="B267" s="47" t="s">
        <v>521</v>
      </c>
      <c r="C267" s="104" t="s">
        <v>522</v>
      </c>
      <c r="D267" s="47" t="s">
        <v>518</v>
      </c>
      <c r="E267" s="108"/>
      <c r="F267" s="246">
        <v>14.28</v>
      </c>
      <c r="G267" s="246"/>
      <c r="H267" s="246"/>
      <c r="I267" s="250">
        <v>1</v>
      </c>
      <c r="J267" s="108">
        <f>ROUND(E264*F267*I267,4)</f>
        <v>4.4382</v>
      </c>
      <c r="K267" s="108"/>
      <c r="L267" s="108"/>
      <c r="S267" s="14">
        <v>112</v>
      </c>
    </row>
    <row r="268" ht="17.25" customHeight="1" spans="1:19">
      <c r="A268" s="241"/>
      <c r="B268" s="47" t="s">
        <v>569</v>
      </c>
      <c r="C268" s="104" t="s">
        <v>570</v>
      </c>
      <c r="D268" s="47" t="s">
        <v>518</v>
      </c>
      <c r="E268" s="108"/>
      <c r="F268" s="246">
        <v>6.2</v>
      </c>
      <c r="G268" s="246"/>
      <c r="H268" s="246"/>
      <c r="I268" s="250">
        <v>1</v>
      </c>
      <c r="J268" s="108">
        <f>ROUND(E264*F268*I268,4)</f>
        <v>1.927</v>
      </c>
      <c r="K268" s="108"/>
      <c r="L268" s="108"/>
      <c r="S268" s="14">
        <v>1114</v>
      </c>
    </row>
    <row r="269" ht="17.25" customHeight="1" spans="1:12">
      <c r="A269" s="241"/>
      <c r="B269" s="47"/>
      <c r="C269" s="242" t="s">
        <v>787</v>
      </c>
      <c r="D269" s="243"/>
      <c r="E269" s="244"/>
      <c r="F269" s="245"/>
      <c r="G269" s="245"/>
      <c r="H269" s="245"/>
      <c r="I269" s="249"/>
      <c r="J269" s="244"/>
      <c r="K269" s="244"/>
      <c r="L269" s="244"/>
    </row>
    <row r="270" ht="17.25" customHeight="1" spans="1:19">
      <c r="A270" s="241"/>
      <c r="B270" s="47" t="s">
        <v>596</v>
      </c>
      <c r="C270" s="104" t="s">
        <v>597</v>
      </c>
      <c r="D270" s="47" t="s">
        <v>594</v>
      </c>
      <c r="E270" s="108"/>
      <c r="F270" s="246"/>
      <c r="G270" s="246">
        <v>9.74</v>
      </c>
      <c r="H270" s="246"/>
      <c r="I270" s="250">
        <v>1</v>
      </c>
      <c r="J270" s="108"/>
      <c r="K270" s="108">
        <f>ROUND(E264*G270*I270,4)</f>
        <v>3.0272</v>
      </c>
      <c r="L270" s="108"/>
      <c r="S270" s="14">
        <v>211</v>
      </c>
    </row>
    <row r="271" ht="17.25" customHeight="1" spans="1:12">
      <c r="A271" s="241"/>
      <c r="B271" s="47"/>
      <c r="C271" s="242" t="s">
        <v>788</v>
      </c>
      <c r="D271" s="243"/>
      <c r="E271" s="244"/>
      <c r="F271" s="245"/>
      <c r="G271" s="245"/>
      <c r="H271" s="245"/>
      <c r="I271" s="249"/>
      <c r="J271" s="244"/>
      <c r="K271" s="244"/>
      <c r="L271" s="244"/>
    </row>
    <row r="272" ht="17.25" customHeight="1" spans="1:19">
      <c r="A272" s="241"/>
      <c r="B272" s="47" t="s">
        <v>636</v>
      </c>
      <c r="C272" s="104" t="s">
        <v>637</v>
      </c>
      <c r="D272" s="47" t="s">
        <v>612</v>
      </c>
      <c r="E272" s="108"/>
      <c r="F272" s="246"/>
      <c r="G272" s="246"/>
      <c r="H272" s="246">
        <v>1.49</v>
      </c>
      <c r="I272" s="250">
        <v>1</v>
      </c>
      <c r="J272" s="108"/>
      <c r="K272" s="108"/>
      <c r="L272" s="108">
        <f>ROUND(E264*H272*I272,4)</f>
        <v>0.4631</v>
      </c>
      <c r="S272" s="14">
        <v>314</v>
      </c>
    </row>
    <row r="273" ht="17.25" customHeight="1" spans="1:19">
      <c r="A273" s="241"/>
      <c r="B273" s="47" t="s">
        <v>621</v>
      </c>
      <c r="C273" s="104" t="s">
        <v>622</v>
      </c>
      <c r="D273" s="47" t="s">
        <v>612</v>
      </c>
      <c r="E273" s="108"/>
      <c r="F273" s="246"/>
      <c r="G273" s="246"/>
      <c r="H273" s="246">
        <v>0.16</v>
      </c>
      <c r="I273" s="250">
        <v>1</v>
      </c>
      <c r="J273" s="108"/>
      <c r="K273" s="108"/>
      <c r="L273" s="108">
        <f>ROUND(E264*H273*I273,4)</f>
        <v>0.0497</v>
      </c>
      <c r="S273" s="14">
        <v>312</v>
      </c>
    </row>
    <row r="274" ht="17.25" customHeight="1" spans="1:19">
      <c r="A274" s="241"/>
      <c r="B274" s="47" t="s">
        <v>656</v>
      </c>
      <c r="C274" s="104" t="s">
        <v>657</v>
      </c>
      <c r="D274" s="47" t="s">
        <v>612</v>
      </c>
      <c r="E274" s="108"/>
      <c r="F274" s="246"/>
      <c r="G274" s="246"/>
      <c r="H274" s="246">
        <v>0.022</v>
      </c>
      <c r="I274" s="250">
        <v>1</v>
      </c>
      <c r="J274" s="108"/>
      <c r="K274" s="108"/>
      <c r="L274" s="108">
        <f>ROUND(E264*H274*I274,4)</f>
        <v>0.0068</v>
      </c>
      <c r="S274" s="14">
        <v>319</v>
      </c>
    </row>
    <row r="275" ht="17.25" customHeight="1" spans="1:19">
      <c r="A275" s="241"/>
      <c r="B275" s="47" t="s">
        <v>614</v>
      </c>
      <c r="C275" s="104" t="s">
        <v>615</v>
      </c>
      <c r="D275" s="47" t="s">
        <v>612</v>
      </c>
      <c r="E275" s="108"/>
      <c r="F275" s="246"/>
      <c r="G275" s="246"/>
      <c r="H275" s="246">
        <v>0.022</v>
      </c>
      <c r="I275" s="250">
        <v>1</v>
      </c>
      <c r="J275" s="108"/>
      <c r="K275" s="108"/>
      <c r="L275" s="108">
        <f>ROUND(E264*H275*I275,4)</f>
        <v>0.0068</v>
      </c>
      <c r="S275" s="14">
        <v>311</v>
      </c>
    </row>
    <row r="276" ht="17.25" customHeight="1" spans="1:16">
      <c r="A276" s="241"/>
      <c r="B276" s="47" t="s">
        <v>790</v>
      </c>
      <c r="C276" s="104" t="s">
        <v>791</v>
      </c>
      <c r="D276" s="47" t="s">
        <v>792</v>
      </c>
      <c r="E276" s="108"/>
      <c r="F276" s="246"/>
      <c r="G276" s="246"/>
      <c r="H276" s="246">
        <v>2</v>
      </c>
      <c r="I276" s="250"/>
      <c r="J276" s="108"/>
      <c r="K276" s="108"/>
      <c r="L276" s="108"/>
      <c r="N276" s="14">
        <v>3637</v>
      </c>
      <c r="P276" s="14">
        <v>4079</v>
      </c>
    </row>
    <row r="277" ht="67.5" customHeight="1" spans="1:12">
      <c r="A277" s="241">
        <v>5</v>
      </c>
      <c r="B277" s="47" t="s">
        <v>245</v>
      </c>
      <c r="C277" s="104" t="s">
        <v>247</v>
      </c>
      <c r="D277" s="47" t="s">
        <v>55</v>
      </c>
      <c r="E277" s="108">
        <v>6.5196</v>
      </c>
      <c r="F277" s="246"/>
      <c r="G277" s="246"/>
      <c r="H277" s="246"/>
      <c r="I277" s="250"/>
      <c r="J277" s="108"/>
      <c r="K277" s="108"/>
      <c r="L277" s="108"/>
    </row>
    <row r="278" ht="17.25" customHeight="1" spans="1:12">
      <c r="A278" s="241"/>
      <c r="B278" s="47"/>
      <c r="C278" s="242" t="s">
        <v>789</v>
      </c>
      <c r="D278" s="243"/>
      <c r="E278" s="244"/>
      <c r="F278" s="245"/>
      <c r="G278" s="245"/>
      <c r="H278" s="245"/>
      <c r="I278" s="249"/>
      <c r="J278" s="244"/>
      <c r="K278" s="244"/>
      <c r="L278" s="244"/>
    </row>
    <row r="279" ht="30" customHeight="1" spans="1:19">
      <c r="A279" s="241"/>
      <c r="B279" s="47" t="s">
        <v>246</v>
      </c>
      <c r="C279" s="104" t="s">
        <v>585</v>
      </c>
      <c r="D279" s="47" t="s">
        <v>55</v>
      </c>
      <c r="E279" s="108"/>
      <c r="F279" s="246">
        <v>1.025</v>
      </c>
      <c r="G279" s="246"/>
      <c r="H279" s="246"/>
      <c r="I279" s="250">
        <v>1</v>
      </c>
      <c r="J279" s="108">
        <f>ROUND(E277*F279*I279,4)</f>
        <v>6.6826</v>
      </c>
      <c r="K279" s="108"/>
      <c r="L279" s="108"/>
      <c r="Q279" s="14">
        <v>0</v>
      </c>
      <c r="R279" s="14">
        <v>0</v>
      </c>
      <c r="S279" s="14">
        <v>1119</v>
      </c>
    </row>
    <row r="280" ht="17.25" customHeight="1" spans="1:19">
      <c r="A280" s="241"/>
      <c r="B280" s="47" t="s">
        <v>560</v>
      </c>
      <c r="C280" s="104" t="s">
        <v>561</v>
      </c>
      <c r="D280" s="47" t="s">
        <v>55</v>
      </c>
      <c r="E280" s="108"/>
      <c r="F280" s="246">
        <v>0.02</v>
      </c>
      <c r="G280" s="246"/>
      <c r="H280" s="246"/>
      <c r="I280" s="250">
        <v>1</v>
      </c>
      <c r="J280" s="108">
        <f>ROUND(E277*F280*I280,4)</f>
        <v>0.1304</v>
      </c>
      <c r="K280" s="108"/>
      <c r="L280" s="108"/>
      <c r="Q280" s="14">
        <v>0</v>
      </c>
      <c r="R280" s="14">
        <v>0</v>
      </c>
      <c r="S280" s="14">
        <v>1111</v>
      </c>
    </row>
    <row r="281" ht="17.25" customHeight="1" spans="1:19">
      <c r="A281" s="241"/>
      <c r="B281" s="47" t="s">
        <v>536</v>
      </c>
      <c r="C281" s="104" t="s">
        <v>537</v>
      </c>
      <c r="D281" s="47" t="s">
        <v>518</v>
      </c>
      <c r="E281" s="108"/>
      <c r="F281" s="246">
        <v>0.048</v>
      </c>
      <c r="G281" s="246"/>
      <c r="H281" s="246"/>
      <c r="I281" s="250">
        <v>1</v>
      </c>
      <c r="J281" s="108">
        <f>ROUND(E277*F281*I281,4)</f>
        <v>0.3129</v>
      </c>
      <c r="K281" s="108"/>
      <c r="L281" s="108"/>
      <c r="Q281" s="14">
        <v>0</v>
      </c>
      <c r="R281" s="14">
        <v>0</v>
      </c>
      <c r="S281" s="14">
        <v>114</v>
      </c>
    </row>
    <row r="282" ht="17.25" customHeight="1" spans="1:19">
      <c r="A282" s="241"/>
      <c r="B282" s="47" t="s">
        <v>539</v>
      </c>
      <c r="C282" s="104" t="s">
        <v>540</v>
      </c>
      <c r="D282" s="47" t="s">
        <v>450</v>
      </c>
      <c r="E282" s="108"/>
      <c r="F282" s="246">
        <v>0.352</v>
      </c>
      <c r="G282" s="246"/>
      <c r="H282" s="246"/>
      <c r="I282" s="250">
        <v>1</v>
      </c>
      <c r="J282" s="108">
        <f>ROUND(E277*F282*I282,4)</f>
        <v>2.2949</v>
      </c>
      <c r="K282" s="108"/>
      <c r="L282" s="108"/>
      <c r="Q282" s="14">
        <v>0</v>
      </c>
      <c r="R282" s="14">
        <v>0</v>
      </c>
      <c r="S282" s="14">
        <v>115</v>
      </c>
    </row>
    <row r="283" ht="17.25" customHeight="1" spans="1:15">
      <c r="A283" s="241"/>
      <c r="B283" s="47" t="s">
        <v>793</v>
      </c>
      <c r="C283" s="104" t="s">
        <v>794</v>
      </c>
      <c r="D283" s="47" t="s">
        <v>792</v>
      </c>
      <c r="E283" s="108"/>
      <c r="F283" s="246">
        <v>1</v>
      </c>
      <c r="G283" s="246"/>
      <c r="H283" s="246"/>
      <c r="I283" s="250"/>
      <c r="J283" s="108"/>
      <c r="K283" s="108"/>
      <c r="L283" s="108"/>
      <c r="M283" s="14">
        <v>50614</v>
      </c>
      <c r="O283" s="14">
        <v>76248</v>
      </c>
    </row>
    <row r="284" ht="17.25" customHeight="1" spans="1:12">
      <c r="A284" s="241"/>
      <c r="B284" s="47"/>
      <c r="C284" s="242" t="s">
        <v>787</v>
      </c>
      <c r="D284" s="243"/>
      <c r="E284" s="244"/>
      <c r="F284" s="245"/>
      <c r="G284" s="245"/>
      <c r="H284" s="245"/>
      <c r="I284" s="249"/>
      <c r="J284" s="244"/>
      <c r="K284" s="244"/>
      <c r="L284" s="244"/>
    </row>
    <row r="285" ht="17.25" customHeight="1" spans="1:19">
      <c r="A285" s="241"/>
      <c r="B285" s="47" t="s">
        <v>596</v>
      </c>
      <c r="C285" s="104" t="s">
        <v>597</v>
      </c>
      <c r="D285" s="47" t="s">
        <v>594</v>
      </c>
      <c r="E285" s="108"/>
      <c r="F285" s="246"/>
      <c r="G285" s="246">
        <v>3.81</v>
      </c>
      <c r="H285" s="246"/>
      <c r="I285" s="250">
        <v>1</v>
      </c>
      <c r="J285" s="108"/>
      <c r="K285" s="108">
        <f>ROUND(E277*G285*I285,4)</f>
        <v>24.8397</v>
      </c>
      <c r="L285" s="108"/>
      <c r="S285" s="14">
        <v>211</v>
      </c>
    </row>
    <row r="286" ht="17.25" customHeight="1" spans="1:12">
      <c r="A286" s="241"/>
      <c r="B286" s="47"/>
      <c r="C286" s="242" t="s">
        <v>788</v>
      </c>
      <c r="D286" s="243"/>
      <c r="E286" s="244"/>
      <c r="F286" s="245"/>
      <c r="G286" s="245"/>
      <c r="H286" s="245"/>
      <c r="I286" s="249"/>
      <c r="J286" s="244"/>
      <c r="K286" s="244"/>
      <c r="L286" s="244"/>
    </row>
    <row r="287" ht="17.25" customHeight="1" spans="1:19">
      <c r="A287" s="241"/>
      <c r="B287" s="47" t="s">
        <v>610</v>
      </c>
      <c r="C287" s="104" t="s">
        <v>611</v>
      </c>
      <c r="D287" s="47" t="s">
        <v>612</v>
      </c>
      <c r="E287" s="108"/>
      <c r="F287" s="246"/>
      <c r="G287" s="246"/>
      <c r="H287" s="246">
        <v>0.09</v>
      </c>
      <c r="I287" s="250">
        <v>1</v>
      </c>
      <c r="J287" s="108"/>
      <c r="K287" s="108"/>
      <c r="L287" s="108">
        <f>ROUND(E277*H287*I287,4)</f>
        <v>0.5868</v>
      </c>
      <c r="S287" s="14">
        <v>310</v>
      </c>
    </row>
    <row r="288" ht="17.25" customHeight="1" spans="1:19">
      <c r="A288" s="241"/>
      <c r="B288" s="47" t="s">
        <v>633</v>
      </c>
      <c r="C288" s="104" t="s">
        <v>634</v>
      </c>
      <c r="D288" s="47" t="s">
        <v>612</v>
      </c>
      <c r="E288" s="108"/>
      <c r="F288" s="246"/>
      <c r="G288" s="246"/>
      <c r="H288" s="246">
        <v>0.18</v>
      </c>
      <c r="I288" s="250">
        <v>1</v>
      </c>
      <c r="J288" s="108"/>
      <c r="K288" s="108"/>
      <c r="L288" s="108">
        <f>ROUND(E277*H288*I288,4)</f>
        <v>1.1735</v>
      </c>
      <c r="S288" s="14">
        <v>313</v>
      </c>
    </row>
    <row r="289" ht="17.25" customHeight="1" spans="1:16">
      <c r="A289" s="241"/>
      <c r="B289" s="47" t="s">
        <v>790</v>
      </c>
      <c r="C289" s="104" t="s">
        <v>791</v>
      </c>
      <c r="D289" s="47" t="s">
        <v>792</v>
      </c>
      <c r="E289" s="108"/>
      <c r="F289" s="246"/>
      <c r="G289" s="246"/>
      <c r="H289" s="246">
        <v>2</v>
      </c>
      <c r="I289" s="250"/>
      <c r="J289" s="108"/>
      <c r="K289" s="108"/>
      <c r="L289" s="108"/>
      <c r="N289" s="14">
        <v>26949</v>
      </c>
      <c r="P289" s="14">
        <v>28224</v>
      </c>
    </row>
    <row r="290" ht="67.5" customHeight="1" spans="1:12">
      <c r="A290" s="241">
        <v>6</v>
      </c>
      <c r="B290" s="47" t="s">
        <v>252</v>
      </c>
      <c r="C290" s="104" t="s">
        <v>253</v>
      </c>
      <c r="D290" s="47" t="s">
        <v>107</v>
      </c>
      <c r="E290" s="108">
        <v>1.1537</v>
      </c>
      <c r="F290" s="246"/>
      <c r="G290" s="246"/>
      <c r="H290" s="246"/>
      <c r="I290" s="250"/>
      <c r="J290" s="108"/>
      <c r="K290" s="108"/>
      <c r="L290" s="108"/>
    </row>
    <row r="291" ht="17.25" customHeight="1" spans="1:12">
      <c r="A291" s="241"/>
      <c r="B291" s="47"/>
      <c r="C291" s="242" t="s">
        <v>789</v>
      </c>
      <c r="D291" s="243"/>
      <c r="E291" s="244"/>
      <c r="F291" s="245"/>
      <c r="G291" s="245"/>
      <c r="H291" s="245"/>
      <c r="I291" s="249"/>
      <c r="J291" s="244"/>
      <c r="K291" s="244"/>
      <c r="L291" s="244"/>
    </row>
    <row r="292" ht="17.25" customHeight="1" spans="1:19">
      <c r="A292" s="241"/>
      <c r="B292" s="47" t="s">
        <v>581</v>
      </c>
      <c r="C292" s="104" t="s">
        <v>582</v>
      </c>
      <c r="D292" s="47" t="s">
        <v>583</v>
      </c>
      <c r="E292" s="108"/>
      <c r="F292" s="246">
        <v>15</v>
      </c>
      <c r="G292" s="246"/>
      <c r="H292" s="246"/>
      <c r="I292" s="250">
        <v>1</v>
      </c>
      <c r="J292" s="108">
        <f>ROUND(E290*F292*I292,4)</f>
        <v>17.3055</v>
      </c>
      <c r="K292" s="108"/>
      <c r="L292" s="108"/>
      <c r="Q292" s="14">
        <v>0</v>
      </c>
      <c r="R292" s="14">
        <v>0</v>
      </c>
      <c r="S292" s="14">
        <v>1118</v>
      </c>
    </row>
    <row r="293" ht="17.25" customHeight="1" spans="1:19">
      <c r="A293" s="241"/>
      <c r="B293" s="47" t="s">
        <v>562</v>
      </c>
      <c r="C293" s="104" t="s">
        <v>563</v>
      </c>
      <c r="D293" s="47" t="s">
        <v>518</v>
      </c>
      <c r="E293" s="108"/>
      <c r="F293" s="246">
        <v>15.05</v>
      </c>
      <c r="G293" s="246"/>
      <c r="H293" s="246"/>
      <c r="I293" s="250">
        <v>1</v>
      </c>
      <c r="J293" s="108">
        <f>ROUND(E290*F293*I293,4)</f>
        <v>17.3632</v>
      </c>
      <c r="K293" s="108"/>
      <c r="L293" s="108"/>
      <c r="Q293" s="14">
        <v>0</v>
      </c>
      <c r="R293" s="14">
        <v>0</v>
      </c>
      <c r="S293" s="14">
        <v>1112</v>
      </c>
    </row>
    <row r="294" ht="17.25" customHeight="1" spans="1:19">
      <c r="A294" s="241"/>
      <c r="B294" s="47" t="s">
        <v>516</v>
      </c>
      <c r="C294" s="104" t="s">
        <v>517</v>
      </c>
      <c r="D294" s="47" t="s">
        <v>518</v>
      </c>
      <c r="E294" s="108"/>
      <c r="F294" s="246">
        <v>40</v>
      </c>
      <c r="G294" s="246"/>
      <c r="H294" s="246"/>
      <c r="I294" s="250">
        <v>1</v>
      </c>
      <c r="J294" s="108">
        <f>ROUND(E290*F294*I294,4)</f>
        <v>46.148</v>
      </c>
      <c r="K294" s="108"/>
      <c r="L294" s="108"/>
      <c r="Q294" s="14">
        <v>0</v>
      </c>
      <c r="R294" s="14">
        <v>0</v>
      </c>
      <c r="S294" s="14">
        <v>111</v>
      </c>
    </row>
    <row r="295" ht="17.25" customHeight="1" spans="1:15">
      <c r="A295" s="241"/>
      <c r="B295" s="47" t="s">
        <v>793</v>
      </c>
      <c r="C295" s="104" t="s">
        <v>794</v>
      </c>
      <c r="D295" s="47" t="s">
        <v>792</v>
      </c>
      <c r="E295" s="108"/>
      <c r="F295" s="246">
        <v>5</v>
      </c>
      <c r="G295" s="246"/>
      <c r="H295" s="246"/>
      <c r="I295" s="250"/>
      <c r="J295" s="108"/>
      <c r="K295" s="108"/>
      <c r="L295" s="108"/>
      <c r="M295" s="14">
        <v>37357</v>
      </c>
      <c r="O295" s="14">
        <v>270315</v>
      </c>
    </row>
    <row r="296" ht="17.25" customHeight="1" spans="1:12">
      <c r="A296" s="241"/>
      <c r="B296" s="47"/>
      <c r="C296" s="242" t="s">
        <v>787</v>
      </c>
      <c r="D296" s="243"/>
      <c r="E296" s="244"/>
      <c r="F296" s="245"/>
      <c r="G296" s="245"/>
      <c r="H296" s="245"/>
      <c r="I296" s="249"/>
      <c r="J296" s="244"/>
      <c r="K296" s="244"/>
      <c r="L296" s="244"/>
    </row>
    <row r="297" ht="17.25" customHeight="1" spans="1:19">
      <c r="A297" s="241"/>
      <c r="B297" s="47" t="s">
        <v>602</v>
      </c>
      <c r="C297" s="104" t="s">
        <v>603</v>
      </c>
      <c r="D297" s="47" t="s">
        <v>594</v>
      </c>
      <c r="E297" s="108"/>
      <c r="F297" s="246"/>
      <c r="G297" s="246">
        <v>23.64</v>
      </c>
      <c r="H297" s="246"/>
      <c r="I297" s="250">
        <v>1</v>
      </c>
      <c r="J297" s="108"/>
      <c r="K297" s="108">
        <f>ROUND(E290*G297*I297,4)</f>
        <v>27.2735</v>
      </c>
      <c r="L297" s="108"/>
      <c r="S297" s="14">
        <v>212</v>
      </c>
    </row>
    <row r="298" ht="17.25" customHeight="1" spans="1:12">
      <c r="A298" s="241"/>
      <c r="B298" s="47"/>
      <c r="C298" s="242" t="s">
        <v>788</v>
      </c>
      <c r="D298" s="243"/>
      <c r="E298" s="244"/>
      <c r="F298" s="245"/>
      <c r="G298" s="245"/>
      <c r="H298" s="245"/>
      <c r="I298" s="249"/>
      <c r="J298" s="244"/>
      <c r="K298" s="244"/>
      <c r="L298" s="244"/>
    </row>
    <row r="299" ht="17.25" customHeight="1" spans="1:19">
      <c r="A299" s="241"/>
      <c r="B299" s="47" t="s">
        <v>659</v>
      </c>
      <c r="C299" s="104" t="s">
        <v>657</v>
      </c>
      <c r="D299" s="47" t="s">
        <v>612</v>
      </c>
      <c r="E299" s="108"/>
      <c r="F299" s="246"/>
      <c r="G299" s="246"/>
      <c r="H299" s="246">
        <v>0.25</v>
      </c>
      <c r="I299" s="250">
        <v>1</v>
      </c>
      <c r="J299" s="108"/>
      <c r="K299" s="108"/>
      <c r="L299" s="108">
        <f>ROUND(E290*H299*I299,4)</f>
        <v>0.2884</v>
      </c>
      <c r="S299" s="14">
        <v>318</v>
      </c>
    </row>
    <row r="300" ht="17.25" customHeight="1" spans="1:19">
      <c r="A300" s="241"/>
      <c r="B300" s="47" t="s">
        <v>614</v>
      </c>
      <c r="C300" s="104" t="s">
        <v>615</v>
      </c>
      <c r="D300" s="47" t="s">
        <v>612</v>
      </c>
      <c r="E300" s="108"/>
      <c r="F300" s="246"/>
      <c r="G300" s="246"/>
      <c r="H300" s="246">
        <v>0.25</v>
      </c>
      <c r="I300" s="250">
        <v>1</v>
      </c>
      <c r="J300" s="108"/>
      <c r="K300" s="108"/>
      <c r="L300" s="108">
        <f>ROUND(E290*H300*I300,4)</f>
        <v>0.2884</v>
      </c>
      <c r="S300" s="14">
        <v>311</v>
      </c>
    </row>
    <row r="301" ht="17.25" customHeight="1" spans="1:16">
      <c r="A301" s="241"/>
      <c r="B301" s="47" t="s">
        <v>790</v>
      </c>
      <c r="C301" s="104" t="s">
        <v>791</v>
      </c>
      <c r="D301" s="47" t="s">
        <v>792</v>
      </c>
      <c r="E301" s="108"/>
      <c r="F301" s="246"/>
      <c r="G301" s="246"/>
      <c r="H301" s="246">
        <v>2</v>
      </c>
      <c r="I301" s="250"/>
      <c r="J301" s="108"/>
      <c r="K301" s="108"/>
      <c r="L301" s="108"/>
      <c r="N301" s="14">
        <v>14737</v>
      </c>
      <c r="P301" s="14">
        <v>20903</v>
      </c>
    </row>
    <row r="302" ht="67.5" customHeight="1" spans="1:12">
      <c r="A302" s="241">
        <v>7</v>
      </c>
      <c r="B302" s="47" t="s">
        <v>252</v>
      </c>
      <c r="C302" s="104" t="s">
        <v>253</v>
      </c>
      <c r="D302" s="47" t="s">
        <v>107</v>
      </c>
      <c r="E302" s="108">
        <v>0.4967</v>
      </c>
      <c r="F302" s="246"/>
      <c r="G302" s="246"/>
      <c r="H302" s="246"/>
      <c r="I302" s="250"/>
      <c r="J302" s="108"/>
      <c r="K302" s="108"/>
      <c r="L302" s="108"/>
    </row>
    <row r="303" ht="17.25" customHeight="1" spans="1:12">
      <c r="A303" s="241"/>
      <c r="B303" s="47"/>
      <c r="C303" s="242" t="s">
        <v>789</v>
      </c>
      <c r="D303" s="243"/>
      <c r="E303" s="244"/>
      <c r="F303" s="245"/>
      <c r="G303" s="245"/>
      <c r="H303" s="245"/>
      <c r="I303" s="249"/>
      <c r="J303" s="244"/>
      <c r="K303" s="244"/>
      <c r="L303" s="244"/>
    </row>
    <row r="304" ht="17.25" customHeight="1" spans="1:19">
      <c r="A304" s="241"/>
      <c r="B304" s="47" t="s">
        <v>581</v>
      </c>
      <c r="C304" s="104" t="s">
        <v>582</v>
      </c>
      <c r="D304" s="47" t="s">
        <v>583</v>
      </c>
      <c r="E304" s="108"/>
      <c r="F304" s="246">
        <v>15</v>
      </c>
      <c r="G304" s="246"/>
      <c r="H304" s="246"/>
      <c r="I304" s="250">
        <v>1</v>
      </c>
      <c r="J304" s="108">
        <f>ROUND(E302*F304*I304,4)</f>
        <v>7.4505</v>
      </c>
      <c r="K304" s="108"/>
      <c r="L304" s="108"/>
      <c r="Q304" s="14">
        <v>0</v>
      </c>
      <c r="R304" s="14">
        <v>0</v>
      </c>
      <c r="S304" s="14">
        <v>1118</v>
      </c>
    </row>
    <row r="305" ht="17.25" customHeight="1" spans="1:19">
      <c r="A305" s="241"/>
      <c r="B305" s="47" t="s">
        <v>562</v>
      </c>
      <c r="C305" s="104" t="s">
        <v>563</v>
      </c>
      <c r="D305" s="47" t="s">
        <v>518</v>
      </c>
      <c r="E305" s="108"/>
      <c r="F305" s="246">
        <v>15.05</v>
      </c>
      <c r="G305" s="246"/>
      <c r="H305" s="246"/>
      <c r="I305" s="250">
        <v>1</v>
      </c>
      <c r="J305" s="108">
        <f>ROUND(E302*F305*I305,4)</f>
        <v>7.4753</v>
      </c>
      <c r="K305" s="108"/>
      <c r="L305" s="108"/>
      <c r="Q305" s="14">
        <v>0</v>
      </c>
      <c r="R305" s="14">
        <v>0</v>
      </c>
      <c r="S305" s="14">
        <v>1112</v>
      </c>
    </row>
    <row r="306" ht="17.25" customHeight="1" spans="1:19">
      <c r="A306" s="241"/>
      <c r="B306" s="47" t="s">
        <v>516</v>
      </c>
      <c r="C306" s="104" t="s">
        <v>517</v>
      </c>
      <c r="D306" s="47" t="s">
        <v>518</v>
      </c>
      <c r="E306" s="108"/>
      <c r="F306" s="246">
        <v>40</v>
      </c>
      <c r="G306" s="246"/>
      <c r="H306" s="246"/>
      <c r="I306" s="250">
        <v>1</v>
      </c>
      <c r="J306" s="108">
        <f>ROUND(E302*F306*I306,4)</f>
        <v>19.868</v>
      </c>
      <c r="K306" s="108"/>
      <c r="L306" s="108"/>
      <c r="Q306" s="14">
        <v>0</v>
      </c>
      <c r="R306" s="14">
        <v>0</v>
      </c>
      <c r="S306" s="14">
        <v>111</v>
      </c>
    </row>
    <row r="307" ht="17.25" customHeight="1" spans="1:15">
      <c r="A307" s="241"/>
      <c r="B307" s="47" t="s">
        <v>793</v>
      </c>
      <c r="C307" s="104" t="s">
        <v>794</v>
      </c>
      <c r="D307" s="47" t="s">
        <v>792</v>
      </c>
      <c r="E307" s="108"/>
      <c r="F307" s="246">
        <v>5</v>
      </c>
      <c r="G307" s="246"/>
      <c r="H307" s="246"/>
      <c r="I307" s="250"/>
      <c r="J307" s="108"/>
      <c r="K307" s="108"/>
      <c r="L307" s="108"/>
      <c r="M307" s="14">
        <v>16083</v>
      </c>
      <c r="O307" s="14">
        <v>116378</v>
      </c>
    </row>
    <row r="308" ht="17.25" customHeight="1" spans="1:12">
      <c r="A308" s="241"/>
      <c r="B308" s="47"/>
      <c r="C308" s="242" t="s">
        <v>787</v>
      </c>
      <c r="D308" s="243"/>
      <c r="E308" s="244"/>
      <c r="F308" s="245"/>
      <c r="G308" s="245"/>
      <c r="H308" s="245"/>
      <c r="I308" s="249"/>
      <c r="J308" s="244"/>
      <c r="K308" s="244"/>
      <c r="L308" s="244"/>
    </row>
    <row r="309" ht="17.25" customHeight="1" spans="1:19">
      <c r="A309" s="241"/>
      <c r="B309" s="47" t="s">
        <v>602</v>
      </c>
      <c r="C309" s="104" t="s">
        <v>603</v>
      </c>
      <c r="D309" s="47" t="s">
        <v>594</v>
      </c>
      <c r="E309" s="108"/>
      <c r="F309" s="246"/>
      <c r="G309" s="246">
        <v>23.64</v>
      </c>
      <c r="H309" s="246"/>
      <c r="I309" s="250">
        <v>1</v>
      </c>
      <c r="J309" s="108"/>
      <c r="K309" s="108">
        <f>ROUND(E302*G309*I309,4)</f>
        <v>11.742</v>
      </c>
      <c r="L309" s="108"/>
      <c r="S309" s="14">
        <v>212</v>
      </c>
    </row>
    <row r="310" ht="17.25" customHeight="1" spans="1:12">
      <c r="A310" s="241"/>
      <c r="B310" s="47"/>
      <c r="C310" s="242" t="s">
        <v>788</v>
      </c>
      <c r="D310" s="243"/>
      <c r="E310" s="244"/>
      <c r="F310" s="245"/>
      <c r="G310" s="245"/>
      <c r="H310" s="245"/>
      <c r="I310" s="249"/>
      <c r="J310" s="244"/>
      <c r="K310" s="244"/>
      <c r="L310" s="244"/>
    </row>
    <row r="311" ht="17.25" customHeight="1" spans="1:19">
      <c r="A311" s="241"/>
      <c r="B311" s="47" t="s">
        <v>659</v>
      </c>
      <c r="C311" s="104" t="s">
        <v>657</v>
      </c>
      <c r="D311" s="47" t="s">
        <v>612</v>
      </c>
      <c r="E311" s="108"/>
      <c r="F311" s="246"/>
      <c r="G311" s="246"/>
      <c r="H311" s="246">
        <v>0.25</v>
      </c>
      <c r="I311" s="250">
        <v>1</v>
      </c>
      <c r="J311" s="108"/>
      <c r="K311" s="108"/>
      <c r="L311" s="108">
        <f>ROUND(E302*H311*I311,4)</f>
        <v>0.1242</v>
      </c>
      <c r="S311" s="14">
        <v>318</v>
      </c>
    </row>
    <row r="312" ht="17.25" customHeight="1" spans="1:19">
      <c r="A312" s="241"/>
      <c r="B312" s="47" t="s">
        <v>614</v>
      </c>
      <c r="C312" s="104" t="s">
        <v>615</v>
      </c>
      <c r="D312" s="47" t="s">
        <v>612</v>
      </c>
      <c r="E312" s="108"/>
      <c r="F312" s="246"/>
      <c r="G312" s="246"/>
      <c r="H312" s="246">
        <v>0.25</v>
      </c>
      <c r="I312" s="250">
        <v>1</v>
      </c>
      <c r="J312" s="108"/>
      <c r="K312" s="108"/>
      <c r="L312" s="108">
        <f>ROUND(E302*H312*I312,4)</f>
        <v>0.1242</v>
      </c>
      <c r="S312" s="14">
        <v>311</v>
      </c>
    </row>
    <row r="313" ht="17.25" customHeight="1" spans="1:16">
      <c r="A313" s="241"/>
      <c r="B313" s="47" t="s">
        <v>790</v>
      </c>
      <c r="C313" s="104" t="s">
        <v>791</v>
      </c>
      <c r="D313" s="47" t="s">
        <v>792</v>
      </c>
      <c r="E313" s="108"/>
      <c r="F313" s="246"/>
      <c r="G313" s="246"/>
      <c r="H313" s="246">
        <v>2</v>
      </c>
      <c r="I313" s="250"/>
      <c r="J313" s="108"/>
      <c r="K313" s="108"/>
      <c r="L313" s="108"/>
      <c r="N313" s="14">
        <v>6345</v>
      </c>
      <c r="P313" s="14">
        <v>8999</v>
      </c>
    </row>
    <row r="314" ht="67.5" customHeight="1" spans="1:12">
      <c r="A314" s="241">
        <v>8</v>
      </c>
      <c r="B314" s="47" t="s">
        <v>288</v>
      </c>
      <c r="C314" s="104" t="s">
        <v>289</v>
      </c>
      <c r="D314" s="47" t="s">
        <v>107</v>
      </c>
      <c r="E314" s="108">
        <v>2.3805</v>
      </c>
      <c r="F314" s="246"/>
      <c r="G314" s="246"/>
      <c r="H314" s="246"/>
      <c r="I314" s="250"/>
      <c r="J314" s="108"/>
      <c r="K314" s="108"/>
      <c r="L314" s="108"/>
    </row>
    <row r="315" ht="17.25" customHeight="1" spans="1:12">
      <c r="A315" s="241"/>
      <c r="B315" s="47"/>
      <c r="C315" s="242" t="s">
        <v>789</v>
      </c>
      <c r="D315" s="243"/>
      <c r="E315" s="244"/>
      <c r="F315" s="245"/>
      <c r="G315" s="245"/>
      <c r="H315" s="245"/>
      <c r="I315" s="249"/>
      <c r="J315" s="244"/>
      <c r="K315" s="244"/>
      <c r="L315" s="244"/>
    </row>
    <row r="316" ht="17.25" customHeight="1" spans="1:19">
      <c r="A316" s="241"/>
      <c r="B316" s="47" t="s">
        <v>581</v>
      </c>
      <c r="C316" s="104" t="s">
        <v>582</v>
      </c>
      <c r="D316" s="47" t="s">
        <v>583</v>
      </c>
      <c r="E316" s="108"/>
      <c r="F316" s="246">
        <v>15</v>
      </c>
      <c r="G316" s="246"/>
      <c r="H316" s="246"/>
      <c r="I316" s="250">
        <v>1</v>
      </c>
      <c r="J316" s="108">
        <f>ROUND(E314*F316*I316,4)</f>
        <v>35.7075</v>
      </c>
      <c r="K316" s="108"/>
      <c r="L316" s="108"/>
      <c r="Q316" s="14">
        <v>0</v>
      </c>
      <c r="R316" s="14">
        <v>0</v>
      </c>
      <c r="S316" s="14">
        <v>1118</v>
      </c>
    </row>
    <row r="317" ht="17.25" customHeight="1" spans="1:19">
      <c r="A317" s="241"/>
      <c r="B317" s="47" t="s">
        <v>562</v>
      </c>
      <c r="C317" s="104" t="s">
        <v>563</v>
      </c>
      <c r="D317" s="47" t="s">
        <v>518</v>
      </c>
      <c r="E317" s="108"/>
      <c r="F317" s="246">
        <v>12</v>
      </c>
      <c r="G317" s="246"/>
      <c r="H317" s="246"/>
      <c r="I317" s="250">
        <v>1</v>
      </c>
      <c r="J317" s="108">
        <f>ROUND(E314*F317*I317,4)</f>
        <v>28.566</v>
      </c>
      <c r="K317" s="108"/>
      <c r="L317" s="108"/>
      <c r="Q317" s="14">
        <v>0</v>
      </c>
      <c r="R317" s="14">
        <v>0</v>
      </c>
      <c r="S317" s="14">
        <v>1112</v>
      </c>
    </row>
    <row r="318" ht="17.25" customHeight="1" spans="1:19">
      <c r="A318" s="241"/>
      <c r="B318" s="47" t="s">
        <v>516</v>
      </c>
      <c r="C318" s="104" t="s">
        <v>517</v>
      </c>
      <c r="D318" s="47" t="s">
        <v>518</v>
      </c>
      <c r="E318" s="108"/>
      <c r="F318" s="246">
        <v>36.5</v>
      </c>
      <c r="G318" s="246"/>
      <c r="H318" s="246"/>
      <c r="I318" s="250">
        <v>1</v>
      </c>
      <c r="J318" s="108">
        <f>ROUND(E314*F318*I318,4)</f>
        <v>86.8883</v>
      </c>
      <c r="K318" s="108"/>
      <c r="L318" s="108"/>
      <c r="Q318" s="14">
        <v>0</v>
      </c>
      <c r="R318" s="14">
        <v>0</v>
      </c>
      <c r="S318" s="14">
        <v>111</v>
      </c>
    </row>
    <row r="319" ht="17.25" customHeight="1" spans="1:15">
      <c r="A319" s="241"/>
      <c r="B319" s="47" t="s">
        <v>793</v>
      </c>
      <c r="C319" s="104" t="s">
        <v>794</v>
      </c>
      <c r="D319" s="47" t="s">
        <v>792</v>
      </c>
      <c r="E319" s="108"/>
      <c r="F319" s="246">
        <v>5</v>
      </c>
      <c r="G319" s="246"/>
      <c r="H319" s="246"/>
      <c r="I319" s="250"/>
      <c r="J319" s="108"/>
      <c r="K319" s="108"/>
      <c r="L319" s="108"/>
      <c r="M319" s="14">
        <v>70336</v>
      </c>
      <c r="O319" s="14">
        <v>525964</v>
      </c>
    </row>
    <row r="320" ht="17.25" customHeight="1" spans="1:12">
      <c r="A320" s="241"/>
      <c r="B320" s="47"/>
      <c r="C320" s="242" t="s">
        <v>787</v>
      </c>
      <c r="D320" s="243"/>
      <c r="E320" s="244"/>
      <c r="F320" s="245"/>
      <c r="G320" s="245"/>
      <c r="H320" s="245"/>
      <c r="I320" s="249"/>
      <c r="J320" s="244"/>
      <c r="K320" s="244"/>
      <c r="L320" s="244"/>
    </row>
    <row r="321" ht="17.25" customHeight="1" spans="1:19">
      <c r="A321" s="241"/>
      <c r="B321" s="47" t="s">
        <v>605</v>
      </c>
      <c r="C321" s="104" t="s">
        <v>606</v>
      </c>
      <c r="D321" s="47" t="s">
        <v>594</v>
      </c>
      <c r="E321" s="108"/>
      <c r="F321" s="246"/>
      <c r="G321" s="246">
        <v>21.5</v>
      </c>
      <c r="H321" s="246"/>
      <c r="I321" s="250">
        <v>1</v>
      </c>
      <c r="J321" s="108"/>
      <c r="K321" s="108">
        <f>ROUND(E314*G321*I321,4)</f>
        <v>51.1808</v>
      </c>
      <c r="L321" s="108"/>
      <c r="S321" s="14">
        <v>213</v>
      </c>
    </row>
    <row r="322" ht="17.25" customHeight="1" spans="1:12">
      <c r="A322" s="241"/>
      <c r="B322" s="47"/>
      <c r="C322" s="242" t="s">
        <v>788</v>
      </c>
      <c r="D322" s="243"/>
      <c r="E322" s="244"/>
      <c r="F322" s="245"/>
      <c r="G322" s="245"/>
      <c r="H322" s="245"/>
      <c r="I322" s="249"/>
      <c r="J322" s="244"/>
      <c r="K322" s="244"/>
      <c r="L322" s="244"/>
    </row>
    <row r="323" ht="17.25" customHeight="1" spans="1:19">
      <c r="A323" s="241"/>
      <c r="B323" s="47" t="s">
        <v>659</v>
      </c>
      <c r="C323" s="104" t="s">
        <v>657</v>
      </c>
      <c r="D323" s="47" t="s">
        <v>612</v>
      </c>
      <c r="E323" s="108"/>
      <c r="F323" s="246"/>
      <c r="G323" s="246"/>
      <c r="H323" s="246">
        <v>0.25</v>
      </c>
      <c r="I323" s="250">
        <v>1</v>
      </c>
      <c r="J323" s="108"/>
      <c r="K323" s="108"/>
      <c r="L323" s="108">
        <f>ROUND(E314*H323*I323,4)</f>
        <v>0.5951</v>
      </c>
      <c r="S323" s="14">
        <v>318</v>
      </c>
    </row>
    <row r="324" ht="17.25" customHeight="1" spans="1:19">
      <c r="A324" s="241"/>
      <c r="B324" s="47" t="s">
        <v>614</v>
      </c>
      <c r="C324" s="104" t="s">
        <v>615</v>
      </c>
      <c r="D324" s="47" t="s">
        <v>612</v>
      </c>
      <c r="E324" s="108"/>
      <c r="F324" s="246"/>
      <c r="G324" s="246"/>
      <c r="H324" s="246">
        <v>0.25</v>
      </c>
      <c r="I324" s="250">
        <v>1</v>
      </c>
      <c r="J324" s="108"/>
      <c r="K324" s="108"/>
      <c r="L324" s="108">
        <f>ROUND(E314*H324*I324,4)</f>
        <v>0.5951</v>
      </c>
      <c r="S324" s="14">
        <v>311</v>
      </c>
    </row>
    <row r="325" ht="17.25" customHeight="1" spans="1:16">
      <c r="A325" s="241"/>
      <c r="B325" s="47" t="s">
        <v>790</v>
      </c>
      <c r="C325" s="104" t="s">
        <v>791</v>
      </c>
      <c r="D325" s="47" t="s">
        <v>792</v>
      </c>
      <c r="E325" s="108"/>
      <c r="F325" s="246"/>
      <c r="G325" s="246"/>
      <c r="H325" s="246">
        <v>2</v>
      </c>
      <c r="I325" s="250"/>
      <c r="J325" s="108"/>
      <c r="K325" s="108"/>
      <c r="L325" s="108"/>
      <c r="N325" s="14">
        <v>30407</v>
      </c>
      <c r="P325" s="14">
        <v>43131</v>
      </c>
    </row>
    <row r="326" ht="67.5" customHeight="1" spans="1:12">
      <c r="A326" s="241">
        <v>9</v>
      </c>
      <c r="B326" s="47" t="s">
        <v>304</v>
      </c>
      <c r="C326" s="104" t="s">
        <v>305</v>
      </c>
      <c r="D326" s="47" t="s">
        <v>107</v>
      </c>
      <c r="E326" s="108">
        <v>0.3289</v>
      </c>
      <c r="F326" s="246"/>
      <c r="G326" s="246"/>
      <c r="H326" s="246"/>
      <c r="I326" s="250"/>
      <c r="J326" s="108"/>
      <c r="K326" s="108"/>
      <c r="L326" s="108"/>
    </row>
    <row r="327" ht="17.25" customHeight="1" spans="1:12">
      <c r="A327" s="241"/>
      <c r="B327" s="47"/>
      <c r="C327" s="242" t="s">
        <v>789</v>
      </c>
      <c r="D327" s="243"/>
      <c r="E327" s="244"/>
      <c r="F327" s="245"/>
      <c r="G327" s="245"/>
      <c r="H327" s="245"/>
      <c r="I327" s="249"/>
      <c r="J327" s="244"/>
      <c r="K327" s="244"/>
      <c r="L327" s="244"/>
    </row>
    <row r="328" ht="17.25" customHeight="1" spans="1:19">
      <c r="A328" s="241"/>
      <c r="B328" s="47" t="s">
        <v>581</v>
      </c>
      <c r="C328" s="104" t="s">
        <v>582</v>
      </c>
      <c r="D328" s="47" t="s">
        <v>583</v>
      </c>
      <c r="E328" s="108"/>
      <c r="F328" s="246">
        <v>10.5</v>
      </c>
      <c r="G328" s="246"/>
      <c r="H328" s="246"/>
      <c r="I328" s="250">
        <v>1</v>
      </c>
      <c r="J328" s="108">
        <f>ROUND(E326*F328*I328,4)</f>
        <v>3.4535</v>
      </c>
      <c r="K328" s="108"/>
      <c r="L328" s="108"/>
      <c r="Q328" s="14">
        <v>0</v>
      </c>
      <c r="R328" s="14">
        <v>0</v>
      </c>
      <c r="S328" s="14">
        <v>1118</v>
      </c>
    </row>
    <row r="329" ht="17.25" customHeight="1" spans="1:19">
      <c r="A329" s="241"/>
      <c r="B329" s="47" t="s">
        <v>562</v>
      </c>
      <c r="C329" s="104" t="s">
        <v>563</v>
      </c>
      <c r="D329" s="47" t="s">
        <v>518</v>
      </c>
      <c r="E329" s="108"/>
      <c r="F329" s="246">
        <v>12.65</v>
      </c>
      <c r="G329" s="246"/>
      <c r="H329" s="246"/>
      <c r="I329" s="250">
        <v>1</v>
      </c>
      <c r="J329" s="108">
        <f>ROUND(E326*F329*I329,4)</f>
        <v>4.1606</v>
      </c>
      <c r="K329" s="108"/>
      <c r="L329" s="108"/>
      <c r="Q329" s="14">
        <v>0</v>
      </c>
      <c r="R329" s="14">
        <v>0</v>
      </c>
      <c r="S329" s="14">
        <v>1112</v>
      </c>
    </row>
    <row r="330" ht="17.25" customHeight="1" spans="1:19">
      <c r="A330" s="241"/>
      <c r="B330" s="47" t="s">
        <v>516</v>
      </c>
      <c r="C330" s="104" t="s">
        <v>517</v>
      </c>
      <c r="D330" s="47" t="s">
        <v>518</v>
      </c>
      <c r="E330" s="108"/>
      <c r="F330" s="246">
        <v>38.5</v>
      </c>
      <c r="G330" s="246"/>
      <c r="H330" s="246"/>
      <c r="I330" s="250">
        <v>1</v>
      </c>
      <c r="J330" s="108">
        <f>ROUND(E326*F330*I330,4)</f>
        <v>12.6627</v>
      </c>
      <c r="K330" s="108"/>
      <c r="L330" s="108"/>
      <c r="Q330" s="14">
        <v>0</v>
      </c>
      <c r="R330" s="14">
        <v>0</v>
      </c>
      <c r="S330" s="14">
        <v>111</v>
      </c>
    </row>
    <row r="331" ht="17.25" customHeight="1" spans="1:15">
      <c r="A331" s="241"/>
      <c r="B331" s="47" t="s">
        <v>793</v>
      </c>
      <c r="C331" s="104" t="s">
        <v>794</v>
      </c>
      <c r="D331" s="47" t="s">
        <v>792</v>
      </c>
      <c r="E331" s="108"/>
      <c r="F331" s="246">
        <v>5</v>
      </c>
      <c r="G331" s="246"/>
      <c r="H331" s="246"/>
      <c r="I331" s="250"/>
      <c r="J331" s="108"/>
      <c r="K331" s="108"/>
      <c r="L331" s="108"/>
      <c r="M331" s="14">
        <v>10250</v>
      </c>
      <c r="O331" s="14">
        <v>59139</v>
      </c>
    </row>
    <row r="332" ht="17.25" customHeight="1" spans="1:12">
      <c r="A332" s="241"/>
      <c r="B332" s="47"/>
      <c r="C332" s="242" t="s">
        <v>787</v>
      </c>
      <c r="D332" s="243"/>
      <c r="E332" s="244"/>
      <c r="F332" s="245"/>
      <c r="G332" s="245"/>
      <c r="H332" s="245"/>
      <c r="I332" s="249"/>
      <c r="J332" s="244"/>
      <c r="K332" s="244"/>
      <c r="L332" s="244"/>
    </row>
    <row r="333" ht="17.25" customHeight="1" spans="1:19">
      <c r="A333" s="241"/>
      <c r="B333" s="47" t="s">
        <v>602</v>
      </c>
      <c r="C333" s="104" t="s">
        <v>603</v>
      </c>
      <c r="D333" s="47" t="s">
        <v>594</v>
      </c>
      <c r="E333" s="108"/>
      <c r="F333" s="246"/>
      <c r="G333" s="246">
        <v>22.5</v>
      </c>
      <c r="H333" s="246"/>
      <c r="I333" s="250">
        <v>1</v>
      </c>
      <c r="J333" s="108"/>
      <c r="K333" s="108">
        <f>ROUND(E326*G333*I333,4)</f>
        <v>7.4003</v>
      </c>
      <c r="L333" s="108"/>
      <c r="S333" s="14">
        <v>212</v>
      </c>
    </row>
    <row r="334" ht="17.25" customHeight="1" spans="1:12">
      <c r="A334" s="241"/>
      <c r="B334" s="47"/>
      <c r="C334" s="242" t="s">
        <v>788</v>
      </c>
      <c r="D334" s="243"/>
      <c r="E334" s="244"/>
      <c r="F334" s="245"/>
      <c r="G334" s="245"/>
      <c r="H334" s="245"/>
      <c r="I334" s="249"/>
      <c r="J334" s="244"/>
      <c r="K334" s="244"/>
      <c r="L334" s="244"/>
    </row>
    <row r="335" ht="17.25" customHeight="1" spans="1:19">
      <c r="A335" s="241"/>
      <c r="B335" s="47" t="s">
        <v>659</v>
      </c>
      <c r="C335" s="104" t="s">
        <v>657</v>
      </c>
      <c r="D335" s="47" t="s">
        <v>612</v>
      </c>
      <c r="E335" s="108"/>
      <c r="F335" s="246"/>
      <c r="G335" s="246"/>
      <c r="H335" s="246">
        <v>0.25</v>
      </c>
      <c r="I335" s="250">
        <v>1</v>
      </c>
      <c r="J335" s="108"/>
      <c r="K335" s="108"/>
      <c r="L335" s="108">
        <f>ROUND(E326*H335*I335,4)</f>
        <v>0.0822</v>
      </c>
      <c r="S335" s="14">
        <v>318</v>
      </c>
    </row>
    <row r="336" ht="17.25" customHeight="1" spans="1:19">
      <c r="A336" s="241"/>
      <c r="B336" s="47" t="s">
        <v>614</v>
      </c>
      <c r="C336" s="104" t="s">
        <v>615</v>
      </c>
      <c r="D336" s="47" t="s">
        <v>612</v>
      </c>
      <c r="E336" s="108"/>
      <c r="F336" s="246"/>
      <c r="G336" s="246"/>
      <c r="H336" s="246">
        <v>0.25</v>
      </c>
      <c r="I336" s="250">
        <v>1</v>
      </c>
      <c r="J336" s="108"/>
      <c r="K336" s="108"/>
      <c r="L336" s="108">
        <f>ROUND(E326*H336*I336,4)</f>
        <v>0.0822</v>
      </c>
      <c r="S336" s="14">
        <v>311</v>
      </c>
    </row>
    <row r="337" ht="17.25" customHeight="1" spans="1:16">
      <c r="A337" s="241"/>
      <c r="B337" s="47" t="s">
        <v>790</v>
      </c>
      <c r="C337" s="104" t="s">
        <v>791</v>
      </c>
      <c r="D337" s="47" t="s">
        <v>792</v>
      </c>
      <c r="E337" s="108"/>
      <c r="F337" s="246"/>
      <c r="G337" s="246"/>
      <c r="H337" s="246">
        <v>2</v>
      </c>
      <c r="I337" s="250"/>
      <c r="J337" s="108"/>
      <c r="K337" s="108"/>
      <c r="L337" s="108"/>
      <c r="N337" s="14">
        <v>4201</v>
      </c>
      <c r="P337" s="14">
        <v>5959</v>
      </c>
    </row>
    <row r="338" ht="55.5" customHeight="1" spans="1:12">
      <c r="A338" s="241">
        <v>10</v>
      </c>
      <c r="B338" s="47" t="s">
        <v>313</v>
      </c>
      <c r="C338" s="104" t="s">
        <v>314</v>
      </c>
      <c r="D338" s="47" t="s">
        <v>114</v>
      </c>
      <c r="E338" s="108">
        <v>0.3809</v>
      </c>
      <c r="F338" s="246"/>
      <c r="G338" s="246"/>
      <c r="H338" s="246"/>
      <c r="I338" s="250"/>
      <c r="J338" s="108"/>
      <c r="K338" s="108"/>
      <c r="L338" s="108"/>
    </row>
    <row r="339" ht="17.25" customHeight="1" spans="1:12">
      <c r="A339" s="241"/>
      <c r="B339" s="47"/>
      <c r="C339" s="242" t="s">
        <v>789</v>
      </c>
      <c r="D339" s="243"/>
      <c r="E339" s="244"/>
      <c r="F339" s="245"/>
      <c r="G339" s="245"/>
      <c r="H339" s="245"/>
      <c r="I339" s="249"/>
      <c r="J339" s="244"/>
      <c r="K339" s="244"/>
      <c r="L339" s="244"/>
    </row>
    <row r="340" ht="17.25" customHeight="1" spans="1:19">
      <c r="A340" s="241"/>
      <c r="B340" s="47" t="s">
        <v>572</v>
      </c>
      <c r="C340" s="104" t="s">
        <v>573</v>
      </c>
      <c r="D340" s="47" t="s">
        <v>518</v>
      </c>
      <c r="E340" s="108"/>
      <c r="F340" s="246">
        <v>1005</v>
      </c>
      <c r="G340" s="246"/>
      <c r="H340" s="246"/>
      <c r="I340" s="250">
        <v>1</v>
      </c>
      <c r="J340" s="108">
        <f>ROUND(E338*F340*I340,4)</f>
        <v>382.8045</v>
      </c>
      <c r="K340" s="108"/>
      <c r="L340" s="108"/>
      <c r="S340" s="14">
        <v>1115</v>
      </c>
    </row>
    <row r="341" ht="17.25" customHeight="1" spans="1:19">
      <c r="A341" s="241"/>
      <c r="B341" s="47" t="s">
        <v>521</v>
      </c>
      <c r="C341" s="104" t="s">
        <v>522</v>
      </c>
      <c r="D341" s="47" t="s">
        <v>518</v>
      </c>
      <c r="E341" s="108"/>
      <c r="F341" s="246">
        <v>21.42</v>
      </c>
      <c r="G341" s="246"/>
      <c r="H341" s="246"/>
      <c r="I341" s="250">
        <v>1</v>
      </c>
      <c r="J341" s="108">
        <f>ROUND(E338*F341*I341,4)</f>
        <v>8.1589</v>
      </c>
      <c r="K341" s="108"/>
      <c r="L341" s="108"/>
      <c r="S341" s="14">
        <v>112</v>
      </c>
    </row>
    <row r="342" ht="17.25" customHeight="1" spans="1:12">
      <c r="A342" s="241"/>
      <c r="B342" s="47"/>
      <c r="C342" s="242" t="s">
        <v>787</v>
      </c>
      <c r="D342" s="243"/>
      <c r="E342" s="244"/>
      <c r="F342" s="245"/>
      <c r="G342" s="245"/>
      <c r="H342" s="245"/>
      <c r="I342" s="249"/>
      <c r="J342" s="244"/>
      <c r="K342" s="244"/>
      <c r="L342" s="244"/>
    </row>
    <row r="343" ht="17.25" customHeight="1" spans="1:19">
      <c r="A343" s="241"/>
      <c r="B343" s="47" t="s">
        <v>596</v>
      </c>
      <c r="C343" s="104" t="s">
        <v>597</v>
      </c>
      <c r="D343" s="47" t="s">
        <v>594</v>
      </c>
      <c r="E343" s="108"/>
      <c r="F343" s="246"/>
      <c r="G343" s="246">
        <v>18.23</v>
      </c>
      <c r="H343" s="246"/>
      <c r="I343" s="250">
        <v>1</v>
      </c>
      <c r="J343" s="108"/>
      <c r="K343" s="108">
        <f>ROUND(E338*G343*I343,4)</f>
        <v>6.9438</v>
      </c>
      <c r="L343" s="108"/>
      <c r="S343" s="14">
        <v>211</v>
      </c>
    </row>
    <row r="344" ht="17.25" customHeight="1" spans="1:12">
      <c r="A344" s="241"/>
      <c r="B344" s="47"/>
      <c r="C344" s="242" t="s">
        <v>788</v>
      </c>
      <c r="D344" s="243"/>
      <c r="E344" s="244"/>
      <c r="F344" s="245"/>
      <c r="G344" s="245"/>
      <c r="H344" s="245"/>
      <c r="I344" s="249"/>
      <c r="J344" s="244"/>
      <c r="K344" s="244"/>
      <c r="L344" s="244"/>
    </row>
    <row r="345" ht="17.25" customHeight="1" spans="1:19">
      <c r="A345" s="241"/>
      <c r="B345" s="47" t="s">
        <v>621</v>
      </c>
      <c r="C345" s="104" t="s">
        <v>622</v>
      </c>
      <c r="D345" s="47" t="s">
        <v>612</v>
      </c>
      <c r="E345" s="108"/>
      <c r="F345" s="246"/>
      <c r="G345" s="246"/>
      <c r="H345" s="246">
        <v>0.4</v>
      </c>
      <c r="I345" s="250">
        <v>1</v>
      </c>
      <c r="J345" s="108"/>
      <c r="K345" s="108"/>
      <c r="L345" s="108">
        <f>ROUND(E338*H345*I345,4)</f>
        <v>0.1524</v>
      </c>
      <c r="S345" s="14">
        <v>312</v>
      </c>
    </row>
    <row r="346" ht="17.25" customHeight="1" spans="1:19">
      <c r="A346" s="241"/>
      <c r="B346" s="47" t="s">
        <v>656</v>
      </c>
      <c r="C346" s="104" t="s">
        <v>657</v>
      </c>
      <c r="D346" s="47" t="s">
        <v>612</v>
      </c>
      <c r="E346" s="108"/>
      <c r="F346" s="246"/>
      <c r="G346" s="246"/>
      <c r="H346" s="246">
        <v>0.03</v>
      </c>
      <c r="I346" s="250">
        <v>1</v>
      </c>
      <c r="J346" s="108"/>
      <c r="K346" s="108"/>
      <c r="L346" s="108">
        <f>ROUND(E338*H346*I346,4)</f>
        <v>0.0114</v>
      </c>
      <c r="S346" s="14">
        <v>319</v>
      </c>
    </row>
    <row r="347" ht="17.25" customHeight="1" spans="1:19">
      <c r="A347" s="241"/>
      <c r="B347" s="47" t="s">
        <v>614</v>
      </c>
      <c r="C347" s="104" t="s">
        <v>615</v>
      </c>
      <c r="D347" s="47" t="s">
        <v>612</v>
      </c>
      <c r="E347" s="108"/>
      <c r="F347" s="246"/>
      <c r="G347" s="246"/>
      <c r="H347" s="246">
        <v>0.03</v>
      </c>
      <c r="I347" s="250">
        <v>1</v>
      </c>
      <c r="J347" s="108"/>
      <c r="K347" s="108"/>
      <c r="L347" s="108">
        <f>ROUND(E338*H347*I347,4)</f>
        <v>0.0114</v>
      </c>
      <c r="S347" s="14">
        <v>311</v>
      </c>
    </row>
    <row r="348" ht="17.25" customHeight="1" spans="1:16">
      <c r="A348" s="241"/>
      <c r="B348" s="47" t="s">
        <v>790</v>
      </c>
      <c r="C348" s="104" t="s">
        <v>791</v>
      </c>
      <c r="D348" s="47" t="s">
        <v>792</v>
      </c>
      <c r="E348" s="108"/>
      <c r="F348" s="246"/>
      <c r="G348" s="246"/>
      <c r="H348" s="246">
        <v>2</v>
      </c>
      <c r="I348" s="250"/>
      <c r="J348" s="108"/>
      <c r="K348" s="108"/>
      <c r="L348" s="108"/>
      <c r="N348" s="14">
        <v>1323</v>
      </c>
      <c r="P348" s="14">
        <v>1561</v>
      </c>
    </row>
    <row r="349" ht="55.5" customHeight="1" spans="1:12">
      <c r="A349" s="241">
        <v>11</v>
      </c>
      <c r="B349" s="47" t="s">
        <v>342</v>
      </c>
      <c r="C349" s="104" t="s">
        <v>343</v>
      </c>
      <c r="D349" s="47" t="s">
        <v>114</v>
      </c>
      <c r="E349" s="108">
        <v>1.8704</v>
      </c>
      <c r="F349" s="246"/>
      <c r="G349" s="246"/>
      <c r="H349" s="246"/>
      <c r="I349" s="250"/>
      <c r="J349" s="108"/>
      <c r="K349" s="108"/>
      <c r="L349" s="108"/>
    </row>
    <row r="350" ht="17.25" customHeight="1" spans="1:12">
      <c r="A350" s="241"/>
      <c r="B350" s="47"/>
      <c r="C350" s="242" t="s">
        <v>789</v>
      </c>
      <c r="D350" s="243"/>
      <c r="E350" s="244"/>
      <c r="F350" s="245"/>
      <c r="G350" s="245"/>
      <c r="H350" s="245"/>
      <c r="I350" s="249"/>
      <c r="J350" s="244"/>
      <c r="K350" s="244"/>
      <c r="L350" s="244"/>
    </row>
    <row r="351" ht="17.25" customHeight="1" spans="1:19">
      <c r="A351" s="241"/>
      <c r="B351" s="47" t="s">
        <v>575</v>
      </c>
      <c r="C351" s="104" t="s">
        <v>576</v>
      </c>
      <c r="D351" s="47" t="s">
        <v>518</v>
      </c>
      <c r="E351" s="108"/>
      <c r="F351" s="246">
        <v>1020</v>
      </c>
      <c r="G351" s="246"/>
      <c r="H351" s="246"/>
      <c r="I351" s="250">
        <v>1</v>
      </c>
      <c r="J351" s="108">
        <f>ROUND(E349*F351*I351,4)</f>
        <v>1907.808</v>
      </c>
      <c r="K351" s="108"/>
      <c r="L351" s="108"/>
      <c r="S351" s="14">
        <v>1116</v>
      </c>
    </row>
    <row r="352" ht="17.25" customHeight="1" spans="1:19">
      <c r="A352" s="241"/>
      <c r="B352" s="47" t="s">
        <v>521</v>
      </c>
      <c r="C352" s="104" t="s">
        <v>522</v>
      </c>
      <c r="D352" s="47" t="s">
        <v>518</v>
      </c>
      <c r="E352" s="108"/>
      <c r="F352" s="246">
        <v>14.28</v>
      </c>
      <c r="G352" s="246"/>
      <c r="H352" s="246"/>
      <c r="I352" s="250">
        <v>1</v>
      </c>
      <c r="J352" s="108">
        <f>ROUND(E349*F352*I352,4)</f>
        <v>26.7093</v>
      </c>
      <c r="K352" s="108"/>
      <c r="L352" s="108"/>
      <c r="S352" s="14">
        <v>112</v>
      </c>
    </row>
    <row r="353" ht="17.25" customHeight="1" spans="1:19">
      <c r="A353" s="241"/>
      <c r="B353" s="47" t="s">
        <v>569</v>
      </c>
      <c r="C353" s="104" t="s">
        <v>570</v>
      </c>
      <c r="D353" s="47" t="s">
        <v>518</v>
      </c>
      <c r="E353" s="108"/>
      <c r="F353" s="246">
        <v>4.7</v>
      </c>
      <c r="G353" s="246"/>
      <c r="H353" s="246"/>
      <c r="I353" s="250">
        <v>1</v>
      </c>
      <c r="J353" s="108">
        <f>ROUND(E349*F353*I353,4)</f>
        <v>8.7909</v>
      </c>
      <c r="K353" s="108"/>
      <c r="L353" s="108"/>
      <c r="S353" s="14">
        <v>1114</v>
      </c>
    </row>
    <row r="354" ht="17.25" customHeight="1" spans="1:12">
      <c r="A354" s="241"/>
      <c r="B354" s="47"/>
      <c r="C354" s="242" t="s">
        <v>787</v>
      </c>
      <c r="D354" s="243"/>
      <c r="E354" s="244"/>
      <c r="F354" s="245"/>
      <c r="G354" s="245"/>
      <c r="H354" s="245"/>
      <c r="I354" s="249"/>
      <c r="J354" s="244"/>
      <c r="K354" s="244"/>
      <c r="L354" s="244"/>
    </row>
    <row r="355" ht="17.25" customHeight="1" spans="1:19">
      <c r="A355" s="241"/>
      <c r="B355" s="47" t="s">
        <v>596</v>
      </c>
      <c r="C355" s="104" t="s">
        <v>597</v>
      </c>
      <c r="D355" s="47" t="s">
        <v>594</v>
      </c>
      <c r="E355" s="108"/>
      <c r="F355" s="246"/>
      <c r="G355" s="246">
        <v>11.45</v>
      </c>
      <c r="H355" s="246"/>
      <c r="I355" s="250">
        <v>1</v>
      </c>
      <c r="J355" s="108"/>
      <c r="K355" s="108">
        <f>ROUND(E349*G355*I355,4)</f>
        <v>21.4161</v>
      </c>
      <c r="L355" s="108"/>
      <c r="S355" s="14">
        <v>211</v>
      </c>
    </row>
    <row r="356" ht="17.25" customHeight="1" spans="1:12">
      <c r="A356" s="241"/>
      <c r="B356" s="47"/>
      <c r="C356" s="242" t="s">
        <v>788</v>
      </c>
      <c r="D356" s="243"/>
      <c r="E356" s="244"/>
      <c r="F356" s="245"/>
      <c r="G356" s="245"/>
      <c r="H356" s="245"/>
      <c r="I356" s="249"/>
      <c r="J356" s="244"/>
      <c r="K356" s="244"/>
      <c r="L356" s="244"/>
    </row>
    <row r="357" ht="17.25" customHeight="1" spans="1:19">
      <c r="A357" s="241"/>
      <c r="B357" s="47" t="s">
        <v>636</v>
      </c>
      <c r="C357" s="104" t="s">
        <v>637</v>
      </c>
      <c r="D357" s="47" t="s">
        <v>612</v>
      </c>
      <c r="E357" s="108"/>
      <c r="F357" s="246"/>
      <c r="G357" s="246"/>
      <c r="H357" s="246">
        <v>1.133</v>
      </c>
      <c r="I357" s="250">
        <v>1</v>
      </c>
      <c r="J357" s="108"/>
      <c r="K357" s="108"/>
      <c r="L357" s="108">
        <f>ROUND(E349*H357*I357,4)</f>
        <v>2.1192</v>
      </c>
      <c r="S357" s="14">
        <v>314</v>
      </c>
    </row>
    <row r="358" ht="17.25" customHeight="1" spans="1:19">
      <c r="A358" s="241"/>
      <c r="B358" s="47" t="s">
        <v>621</v>
      </c>
      <c r="C358" s="104" t="s">
        <v>622</v>
      </c>
      <c r="D358" s="47" t="s">
        <v>612</v>
      </c>
      <c r="E358" s="108"/>
      <c r="F358" s="246"/>
      <c r="G358" s="246"/>
      <c r="H358" s="246">
        <v>0.32</v>
      </c>
      <c r="I358" s="250">
        <v>1</v>
      </c>
      <c r="J358" s="108"/>
      <c r="K358" s="108"/>
      <c r="L358" s="108">
        <f>ROUND(E349*H358*I358,4)</f>
        <v>0.5985</v>
      </c>
      <c r="S358" s="14">
        <v>312</v>
      </c>
    </row>
    <row r="359" ht="17.25" customHeight="1" spans="1:19">
      <c r="A359" s="241"/>
      <c r="B359" s="47" t="s">
        <v>656</v>
      </c>
      <c r="C359" s="104" t="s">
        <v>657</v>
      </c>
      <c r="D359" s="47" t="s">
        <v>612</v>
      </c>
      <c r="E359" s="108"/>
      <c r="F359" s="246"/>
      <c r="G359" s="246"/>
      <c r="H359" s="246">
        <v>0.025</v>
      </c>
      <c r="I359" s="250">
        <v>1</v>
      </c>
      <c r="J359" s="108"/>
      <c r="K359" s="108"/>
      <c r="L359" s="108">
        <f>ROUND(E349*H359*I359,4)</f>
        <v>0.0468</v>
      </c>
      <c r="S359" s="14">
        <v>319</v>
      </c>
    </row>
    <row r="360" ht="17.25" customHeight="1" spans="1:19">
      <c r="A360" s="241"/>
      <c r="B360" s="47" t="s">
        <v>614</v>
      </c>
      <c r="C360" s="104" t="s">
        <v>615</v>
      </c>
      <c r="D360" s="47" t="s">
        <v>612</v>
      </c>
      <c r="E360" s="108"/>
      <c r="F360" s="246"/>
      <c r="G360" s="246"/>
      <c r="H360" s="246">
        <v>0.025</v>
      </c>
      <c r="I360" s="250">
        <v>1</v>
      </c>
      <c r="J360" s="108"/>
      <c r="K360" s="108"/>
      <c r="L360" s="108">
        <f>ROUND(E349*H360*I360,4)</f>
        <v>0.0468</v>
      </c>
      <c r="S360" s="14">
        <v>311</v>
      </c>
    </row>
    <row r="361" ht="17.25" customHeight="1" spans="1:16">
      <c r="A361" s="241"/>
      <c r="B361" s="47" t="s">
        <v>790</v>
      </c>
      <c r="C361" s="104" t="s">
        <v>791</v>
      </c>
      <c r="D361" s="47" t="s">
        <v>792</v>
      </c>
      <c r="E361" s="108"/>
      <c r="F361" s="246"/>
      <c r="G361" s="246"/>
      <c r="H361" s="246">
        <v>2</v>
      </c>
      <c r="I361" s="250"/>
      <c r="J361" s="108"/>
      <c r="K361" s="108"/>
      <c r="L361" s="108"/>
      <c r="N361" s="14">
        <v>19215</v>
      </c>
      <c r="P361" s="14">
        <v>21573</v>
      </c>
    </row>
    <row r="362" ht="55.5" customHeight="1" spans="1:12">
      <c r="A362" s="241">
        <v>12</v>
      </c>
      <c r="B362" s="47" t="s">
        <v>373</v>
      </c>
      <c r="C362" s="104" t="s">
        <v>374</v>
      </c>
      <c r="D362" s="47" t="s">
        <v>114</v>
      </c>
      <c r="E362" s="108">
        <v>0</v>
      </c>
      <c r="F362" s="246"/>
      <c r="G362" s="246"/>
      <c r="H362" s="246"/>
      <c r="I362" s="250"/>
      <c r="J362" s="108"/>
      <c r="K362" s="108"/>
      <c r="L362" s="108"/>
    </row>
    <row r="363" ht="17.25" customHeight="1" spans="1:12">
      <c r="A363" s="241"/>
      <c r="B363" s="47"/>
      <c r="C363" s="242" t="s">
        <v>789</v>
      </c>
      <c r="D363" s="243"/>
      <c r="E363" s="244"/>
      <c r="F363" s="245"/>
      <c r="G363" s="245"/>
      <c r="H363" s="245"/>
      <c r="I363" s="249"/>
      <c r="J363" s="244"/>
      <c r="K363" s="244"/>
      <c r="L363" s="244"/>
    </row>
    <row r="364" ht="17.25" customHeight="1" spans="1:19">
      <c r="A364" s="241"/>
      <c r="B364" s="47" t="s">
        <v>578</v>
      </c>
      <c r="C364" s="104" t="s">
        <v>579</v>
      </c>
      <c r="D364" s="47" t="s">
        <v>518</v>
      </c>
      <c r="E364" s="108"/>
      <c r="F364" s="246">
        <v>1020</v>
      </c>
      <c r="G364" s="246"/>
      <c r="H364" s="246"/>
      <c r="I364" s="250">
        <v>1</v>
      </c>
      <c r="J364" s="108">
        <f>ROUND(E362*F364*I364,4)</f>
        <v>0</v>
      </c>
      <c r="K364" s="108"/>
      <c r="L364" s="108"/>
      <c r="S364" s="14">
        <v>1117</v>
      </c>
    </row>
    <row r="365" ht="17.25" customHeight="1" spans="1:19">
      <c r="A365" s="241"/>
      <c r="B365" s="47" t="s">
        <v>521</v>
      </c>
      <c r="C365" s="104" t="s">
        <v>522</v>
      </c>
      <c r="D365" s="47" t="s">
        <v>518</v>
      </c>
      <c r="E365" s="108"/>
      <c r="F365" s="246">
        <v>14.28</v>
      </c>
      <c r="G365" s="246"/>
      <c r="H365" s="246"/>
      <c r="I365" s="250">
        <v>1</v>
      </c>
      <c r="J365" s="108">
        <f>ROUND(E362*F365*I365,4)</f>
        <v>0</v>
      </c>
      <c r="K365" s="108"/>
      <c r="L365" s="108"/>
      <c r="S365" s="14">
        <v>112</v>
      </c>
    </row>
    <row r="366" ht="17.25" customHeight="1" spans="1:19">
      <c r="A366" s="241"/>
      <c r="B366" s="47" t="s">
        <v>569</v>
      </c>
      <c r="C366" s="104" t="s">
        <v>570</v>
      </c>
      <c r="D366" s="47" t="s">
        <v>518</v>
      </c>
      <c r="E366" s="108"/>
      <c r="F366" s="246">
        <v>6.04</v>
      </c>
      <c r="G366" s="246"/>
      <c r="H366" s="246"/>
      <c r="I366" s="250">
        <v>1</v>
      </c>
      <c r="J366" s="108">
        <f>ROUND(E362*F366*I366,4)</f>
        <v>0</v>
      </c>
      <c r="K366" s="108"/>
      <c r="L366" s="108"/>
      <c r="S366" s="14">
        <v>1114</v>
      </c>
    </row>
    <row r="367" ht="17.25" customHeight="1" spans="1:12">
      <c r="A367" s="241"/>
      <c r="B367" s="47"/>
      <c r="C367" s="242" t="s">
        <v>787</v>
      </c>
      <c r="D367" s="243"/>
      <c r="E367" s="244"/>
      <c r="F367" s="245"/>
      <c r="G367" s="245"/>
      <c r="H367" s="245"/>
      <c r="I367" s="249"/>
      <c r="J367" s="244"/>
      <c r="K367" s="244"/>
      <c r="L367" s="244"/>
    </row>
    <row r="368" ht="17.25" customHeight="1" spans="1:19">
      <c r="A368" s="241"/>
      <c r="B368" s="47" t="s">
        <v>596</v>
      </c>
      <c r="C368" s="104" t="s">
        <v>597</v>
      </c>
      <c r="D368" s="47" t="s">
        <v>594</v>
      </c>
      <c r="E368" s="108"/>
      <c r="F368" s="246"/>
      <c r="G368" s="246">
        <v>10.1</v>
      </c>
      <c r="H368" s="246"/>
      <c r="I368" s="250">
        <v>1</v>
      </c>
      <c r="J368" s="108"/>
      <c r="K368" s="108">
        <f>ROUND(E362*G368*I368,4)</f>
        <v>0</v>
      </c>
      <c r="L368" s="108"/>
      <c r="S368" s="14">
        <v>211</v>
      </c>
    </row>
    <row r="369" ht="17.25" customHeight="1" spans="1:12">
      <c r="A369" s="241"/>
      <c r="B369" s="47"/>
      <c r="C369" s="242" t="s">
        <v>788</v>
      </c>
      <c r="D369" s="243"/>
      <c r="E369" s="244"/>
      <c r="F369" s="245"/>
      <c r="G369" s="245"/>
      <c r="H369" s="245"/>
      <c r="I369" s="249"/>
      <c r="J369" s="244"/>
      <c r="K369" s="244"/>
      <c r="L369" s="244"/>
    </row>
    <row r="370" ht="17.25" customHeight="1" spans="1:19">
      <c r="A370" s="241"/>
      <c r="B370" s="47" t="s">
        <v>636</v>
      </c>
      <c r="C370" s="104" t="s">
        <v>637</v>
      </c>
      <c r="D370" s="47" t="s">
        <v>612</v>
      </c>
      <c r="E370" s="108"/>
      <c r="F370" s="246"/>
      <c r="G370" s="246"/>
      <c r="H370" s="246">
        <v>1.456</v>
      </c>
      <c r="I370" s="250">
        <v>1</v>
      </c>
      <c r="J370" s="108"/>
      <c r="K370" s="108"/>
      <c r="L370" s="108">
        <f>ROUND(E362*H370*I370,4)</f>
        <v>0</v>
      </c>
      <c r="S370" s="14">
        <v>314</v>
      </c>
    </row>
    <row r="371" ht="17.25" customHeight="1" spans="1:19">
      <c r="A371" s="241"/>
      <c r="B371" s="47" t="s">
        <v>621</v>
      </c>
      <c r="C371" s="104" t="s">
        <v>622</v>
      </c>
      <c r="D371" s="47" t="s">
        <v>612</v>
      </c>
      <c r="E371" s="108"/>
      <c r="F371" s="246"/>
      <c r="G371" s="246"/>
      <c r="H371" s="246">
        <v>0.16</v>
      </c>
      <c r="I371" s="250">
        <v>1</v>
      </c>
      <c r="J371" s="108"/>
      <c r="K371" s="108"/>
      <c r="L371" s="108">
        <f>ROUND(E362*H371*I371,4)</f>
        <v>0</v>
      </c>
      <c r="S371" s="14">
        <v>312</v>
      </c>
    </row>
    <row r="372" ht="17.25" customHeight="1" spans="1:19">
      <c r="A372" s="241"/>
      <c r="B372" s="47" t="s">
        <v>656</v>
      </c>
      <c r="C372" s="104" t="s">
        <v>657</v>
      </c>
      <c r="D372" s="47" t="s">
        <v>612</v>
      </c>
      <c r="E372" s="108"/>
      <c r="F372" s="246"/>
      <c r="G372" s="246"/>
      <c r="H372" s="246">
        <v>0.022</v>
      </c>
      <c r="I372" s="250">
        <v>1</v>
      </c>
      <c r="J372" s="108"/>
      <c r="K372" s="108"/>
      <c r="L372" s="108">
        <f>ROUND(E362*H372*I372,4)</f>
        <v>0</v>
      </c>
      <c r="S372" s="14">
        <v>319</v>
      </c>
    </row>
    <row r="373" ht="17.25" customHeight="1" spans="1:19">
      <c r="A373" s="241"/>
      <c r="B373" s="47" t="s">
        <v>614</v>
      </c>
      <c r="C373" s="104" t="s">
        <v>615</v>
      </c>
      <c r="D373" s="47" t="s">
        <v>612</v>
      </c>
      <c r="E373" s="108"/>
      <c r="F373" s="246"/>
      <c r="G373" s="246"/>
      <c r="H373" s="246">
        <v>0.022</v>
      </c>
      <c r="I373" s="250">
        <v>1</v>
      </c>
      <c r="J373" s="108"/>
      <c r="K373" s="108"/>
      <c r="L373" s="108">
        <f>ROUND(E362*H373*I373,4)</f>
        <v>0</v>
      </c>
      <c r="S373" s="14">
        <v>311</v>
      </c>
    </row>
    <row r="374" ht="17.25" customHeight="1" spans="1:16">
      <c r="A374" s="241"/>
      <c r="B374" s="47" t="s">
        <v>790</v>
      </c>
      <c r="C374" s="104" t="s">
        <v>791</v>
      </c>
      <c r="D374" s="47" t="s">
        <v>792</v>
      </c>
      <c r="E374" s="108"/>
      <c r="F374" s="246"/>
      <c r="G374" s="246"/>
      <c r="H374" s="246">
        <v>2</v>
      </c>
      <c r="I374" s="250"/>
      <c r="J374" s="108"/>
      <c r="K374" s="108"/>
      <c r="L374" s="108"/>
      <c r="N374" s="14">
        <v>0</v>
      </c>
      <c r="P374" s="14">
        <v>0</v>
      </c>
    </row>
    <row r="375" ht="55.5" customHeight="1" spans="1:12">
      <c r="A375" s="241">
        <v>13</v>
      </c>
      <c r="B375" s="47" t="s">
        <v>378</v>
      </c>
      <c r="C375" s="104" t="s">
        <v>379</v>
      </c>
      <c r="D375" s="47" t="s">
        <v>114</v>
      </c>
      <c r="E375" s="108">
        <v>2.4207</v>
      </c>
      <c r="F375" s="246"/>
      <c r="G375" s="246"/>
      <c r="H375" s="246"/>
      <c r="I375" s="250"/>
      <c r="J375" s="108"/>
      <c r="K375" s="108"/>
      <c r="L375" s="108"/>
    </row>
    <row r="376" ht="17.25" customHeight="1" spans="1:12">
      <c r="A376" s="241"/>
      <c r="B376" s="47"/>
      <c r="C376" s="242" t="s">
        <v>789</v>
      </c>
      <c r="D376" s="243"/>
      <c r="E376" s="244"/>
      <c r="F376" s="245"/>
      <c r="G376" s="245"/>
      <c r="H376" s="245"/>
      <c r="I376" s="249"/>
      <c r="J376" s="244"/>
      <c r="K376" s="244"/>
      <c r="L376" s="244"/>
    </row>
    <row r="377" ht="17.25" customHeight="1" spans="1:19">
      <c r="A377" s="241"/>
      <c r="B377" s="47" t="s">
        <v>572</v>
      </c>
      <c r="C377" s="104" t="s">
        <v>573</v>
      </c>
      <c r="D377" s="47" t="s">
        <v>518</v>
      </c>
      <c r="E377" s="108"/>
      <c r="F377" s="246">
        <v>1005</v>
      </c>
      <c r="G377" s="246"/>
      <c r="H377" s="246"/>
      <c r="I377" s="250">
        <v>1</v>
      </c>
      <c r="J377" s="108">
        <f>ROUND(E375*F377*I377,4)</f>
        <v>2432.8035</v>
      </c>
      <c r="K377" s="108"/>
      <c r="L377" s="108"/>
      <c r="S377" s="14">
        <v>1115</v>
      </c>
    </row>
    <row r="378" ht="17.25" customHeight="1" spans="1:19">
      <c r="A378" s="241"/>
      <c r="B378" s="47" t="s">
        <v>521</v>
      </c>
      <c r="C378" s="104" t="s">
        <v>522</v>
      </c>
      <c r="D378" s="47" t="s">
        <v>518</v>
      </c>
      <c r="E378" s="108"/>
      <c r="F378" s="246">
        <v>21.42</v>
      </c>
      <c r="G378" s="246"/>
      <c r="H378" s="246"/>
      <c r="I378" s="250">
        <v>1</v>
      </c>
      <c r="J378" s="108">
        <f>ROUND(E375*F378*I378,4)</f>
        <v>51.8514</v>
      </c>
      <c r="K378" s="108"/>
      <c r="L378" s="108"/>
      <c r="S378" s="14">
        <v>112</v>
      </c>
    </row>
    <row r="379" ht="17.25" customHeight="1" spans="1:12">
      <c r="A379" s="241"/>
      <c r="B379" s="47"/>
      <c r="C379" s="242" t="s">
        <v>787</v>
      </c>
      <c r="D379" s="243"/>
      <c r="E379" s="244"/>
      <c r="F379" s="245"/>
      <c r="G379" s="245"/>
      <c r="H379" s="245"/>
      <c r="I379" s="249"/>
      <c r="J379" s="244"/>
      <c r="K379" s="244"/>
      <c r="L379" s="244"/>
    </row>
    <row r="380" ht="17.25" customHeight="1" spans="1:19">
      <c r="A380" s="241"/>
      <c r="B380" s="47" t="s">
        <v>596</v>
      </c>
      <c r="C380" s="104" t="s">
        <v>597</v>
      </c>
      <c r="D380" s="47" t="s">
        <v>594</v>
      </c>
      <c r="E380" s="108"/>
      <c r="F380" s="246"/>
      <c r="G380" s="246">
        <v>16.1</v>
      </c>
      <c r="H380" s="246"/>
      <c r="I380" s="250">
        <v>1</v>
      </c>
      <c r="J380" s="108"/>
      <c r="K380" s="108">
        <f>ROUND(E375*G380*I380,4)</f>
        <v>38.9733</v>
      </c>
      <c r="L380" s="108"/>
      <c r="S380" s="14">
        <v>211</v>
      </c>
    </row>
    <row r="381" ht="17.25" customHeight="1" spans="1:12">
      <c r="A381" s="241"/>
      <c r="B381" s="47"/>
      <c r="C381" s="242" t="s">
        <v>788</v>
      </c>
      <c r="D381" s="243"/>
      <c r="E381" s="244"/>
      <c r="F381" s="245"/>
      <c r="G381" s="245"/>
      <c r="H381" s="245"/>
      <c r="I381" s="249"/>
      <c r="J381" s="244"/>
      <c r="K381" s="244"/>
      <c r="L381" s="244"/>
    </row>
    <row r="382" ht="17.25" customHeight="1" spans="1:19">
      <c r="A382" s="241"/>
      <c r="B382" s="47" t="s">
        <v>621</v>
      </c>
      <c r="C382" s="104" t="s">
        <v>622</v>
      </c>
      <c r="D382" s="47" t="s">
        <v>612</v>
      </c>
      <c r="E382" s="108"/>
      <c r="F382" s="246"/>
      <c r="G382" s="246"/>
      <c r="H382" s="246">
        <v>0.4</v>
      </c>
      <c r="I382" s="250">
        <v>1</v>
      </c>
      <c r="J382" s="108"/>
      <c r="K382" s="108"/>
      <c r="L382" s="108">
        <f>ROUND(E375*H382*I382,4)</f>
        <v>0.9683</v>
      </c>
      <c r="S382" s="14">
        <v>312</v>
      </c>
    </row>
    <row r="383" ht="17.25" customHeight="1" spans="1:19">
      <c r="A383" s="241"/>
      <c r="B383" s="47" t="s">
        <v>656</v>
      </c>
      <c r="C383" s="104" t="s">
        <v>657</v>
      </c>
      <c r="D383" s="47" t="s">
        <v>612</v>
      </c>
      <c r="E383" s="108"/>
      <c r="F383" s="246"/>
      <c r="G383" s="246"/>
      <c r="H383" s="246">
        <v>0.035</v>
      </c>
      <c r="I383" s="250">
        <v>1</v>
      </c>
      <c r="J383" s="108"/>
      <c r="K383" s="108"/>
      <c r="L383" s="108">
        <f>ROUND(E375*H383*I383,4)</f>
        <v>0.0847</v>
      </c>
      <c r="S383" s="14">
        <v>319</v>
      </c>
    </row>
    <row r="384" ht="17.25" customHeight="1" spans="1:19">
      <c r="A384" s="241"/>
      <c r="B384" s="47" t="s">
        <v>614</v>
      </c>
      <c r="C384" s="104" t="s">
        <v>615</v>
      </c>
      <c r="D384" s="47" t="s">
        <v>612</v>
      </c>
      <c r="E384" s="108"/>
      <c r="F384" s="246"/>
      <c r="G384" s="246"/>
      <c r="H384" s="246">
        <v>0.035</v>
      </c>
      <c r="I384" s="250">
        <v>1</v>
      </c>
      <c r="J384" s="108"/>
      <c r="K384" s="108"/>
      <c r="L384" s="108">
        <f>ROUND(E375*H384*I384,4)</f>
        <v>0.0847</v>
      </c>
      <c r="S384" s="14">
        <v>311</v>
      </c>
    </row>
    <row r="385" ht="17.25" customHeight="1" spans="1:16">
      <c r="A385" s="241"/>
      <c r="B385" s="47" t="s">
        <v>790</v>
      </c>
      <c r="C385" s="104" t="s">
        <v>791</v>
      </c>
      <c r="D385" s="47" t="s">
        <v>792</v>
      </c>
      <c r="E385" s="108"/>
      <c r="F385" s="246"/>
      <c r="G385" s="246"/>
      <c r="H385" s="246">
        <v>2</v>
      </c>
      <c r="I385" s="250"/>
      <c r="J385" s="108"/>
      <c r="K385" s="108"/>
      <c r="L385" s="108"/>
      <c r="N385" s="14">
        <v>9045</v>
      </c>
      <c r="P385" s="14">
        <v>10797</v>
      </c>
    </row>
    <row r="386" ht="55.5" customHeight="1" spans="1:12">
      <c r="A386" s="241">
        <v>14</v>
      </c>
      <c r="B386" s="47" t="s">
        <v>388</v>
      </c>
      <c r="C386" s="104" t="s">
        <v>389</v>
      </c>
      <c r="D386" s="47" t="s">
        <v>114</v>
      </c>
      <c r="E386" s="108">
        <v>0.232</v>
      </c>
      <c r="F386" s="246"/>
      <c r="G386" s="246"/>
      <c r="H386" s="246"/>
      <c r="I386" s="250"/>
      <c r="J386" s="108"/>
      <c r="K386" s="108"/>
      <c r="L386" s="108"/>
    </row>
    <row r="387" ht="17.25" customHeight="1" spans="1:12">
      <c r="A387" s="241"/>
      <c r="B387" s="47"/>
      <c r="C387" s="242" t="s">
        <v>789</v>
      </c>
      <c r="D387" s="243"/>
      <c r="E387" s="244"/>
      <c r="F387" s="245"/>
      <c r="G387" s="245"/>
      <c r="H387" s="245"/>
      <c r="I387" s="249"/>
      <c r="J387" s="244"/>
      <c r="K387" s="244"/>
      <c r="L387" s="244"/>
    </row>
    <row r="388" ht="17.25" customHeight="1" spans="1:19">
      <c r="A388" s="241"/>
      <c r="B388" s="47" t="s">
        <v>572</v>
      </c>
      <c r="C388" s="104" t="s">
        <v>573</v>
      </c>
      <c r="D388" s="47" t="s">
        <v>518</v>
      </c>
      <c r="E388" s="108"/>
      <c r="F388" s="246">
        <v>1005</v>
      </c>
      <c r="G388" s="246"/>
      <c r="H388" s="246"/>
      <c r="I388" s="250">
        <v>1</v>
      </c>
      <c r="J388" s="108">
        <f>ROUND(E386*F388*I388,4)</f>
        <v>233.16</v>
      </c>
      <c r="K388" s="108"/>
      <c r="L388" s="108"/>
      <c r="S388" s="14">
        <v>1115</v>
      </c>
    </row>
    <row r="389" ht="17.25" customHeight="1" spans="1:19">
      <c r="A389" s="241"/>
      <c r="B389" s="47" t="s">
        <v>521</v>
      </c>
      <c r="C389" s="104" t="s">
        <v>522</v>
      </c>
      <c r="D389" s="47" t="s">
        <v>518</v>
      </c>
      <c r="E389" s="108"/>
      <c r="F389" s="246">
        <v>21.42</v>
      </c>
      <c r="G389" s="246"/>
      <c r="H389" s="246"/>
      <c r="I389" s="250">
        <v>1</v>
      </c>
      <c r="J389" s="108">
        <f>ROUND(E386*F389*I389,4)</f>
        <v>4.9694</v>
      </c>
      <c r="K389" s="108"/>
      <c r="L389" s="108"/>
      <c r="S389" s="14">
        <v>112</v>
      </c>
    </row>
    <row r="390" ht="17.25" customHeight="1" spans="1:12">
      <c r="A390" s="241"/>
      <c r="B390" s="47"/>
      <c r="C390" s="242" t="s">
        <v>787</v>
      </c>
      <c r="D390" s="243"/>
      <c r="E390" s="244"/>
      <c r="F390" s="245"/>
      <c r="G390" s="245"/>
      <c r="H390" s="245"/>
      <c r="I390" s="249"/>
      <c r="J390" s="244"/>
      <c r="K390" s="244"/>
      <c r="L390" s="244"/>
    </row>
    <row r="391" ht="17.25" customHeight="1" spans="1:19">
      <c r="A391" s="241"/>
      <c r="B391" s="47" t="s">
        <v>596</v>
      </c>
      <c r="C391" s="104" t="s">
        <v>597</v>
      </c>
      <c r="D391" s="47" t="s">
        <v>594</v>
      </c>
      <c r="E391" s="108"/>
      <c r="F391" s="246"/>
      <c r="G391" s="246">
        <v>15.53</v>
      </c>
      <c r="H391" s="246"/>
      <c r="I391" s="250">
        <v>1</v>
      </c>
      <c r="J391" s="108"/>
      <c r="K391" s="108">
        <f>ROUND(E386*G391*I391,4)</f>
        <v>3.603</v>
      </c>
      <c r="L391" s="108"/>
      <c r="S391" s="14">
        <v>211</v>
      </c>
    </row>
    <row r="392" ht="17.25" customHeight="1" spans="1:12">
      <c r="A392" s="241"/>
      <c r="B392" s="47"/>
      <c r="C392" s="242" t="s">
        <v>788</v>
      </c>
      <c r="D392" s="243"/>
      <c r="E392" s="244"/>
      <c r="F392" s="245"/>
      <c r="G392" s="245"/>
      <c r="H392" s="245"/>
      <c r="I392" s="249"/>
      <c r="J392" s="244"/>
      <c r="K392" s="244"/>
      <c r="L392" s="244"/>
    </row>
    <row r="393" ht="17.25" customHeight="1" spans="1:19">
      <c r="A393" s="241"/>
      <c r="B393" s="47" t="s">
        <v>621</v>
      </c>
      <c r="C393" s="104" t="s">
        <v>622</v>
      </c>
      <c r="D393" s="47" t="s">
        <v>612</v>
      </c>
      <c r="E393" s="108"/>
      <c r="F393" s="246"/>
      <c r="G393" s="246"/>
      <c r="H393" s="246">
        <v>0.4</v>
      </c>
      <c r="I393" s="250">
        <v>1</v>
      </c>
      <c r="J393" s="108"/>
      <c r="K393" s="108"/>
      <c r="L393" s="108">
        <f>ROUND(E386*H393*I393,4)</f>
        <v>0.0928</v>
      </c>
      <c r="S393" s="14">
        <v>312</v>
      </c>
    </row>
    <row r="394" ht="17.25" customHeight="1" spans="1:19">
      <c r="A394" s="241"/>
      <c r="B394" s="47" t="s">
        <v>656</v>
      </c>
      <c r="C394" s="104" t="s">
        <v>657</v>
      </c>
      <c r="D394" s="47" t="s">
        <v>612</v>
      </c>
      <c r="E394" s="108"/>
      <c r="F394" s="246"/>
      <c r="G394" s="246"/>
      <c r="H394" s="246">
        <v>0.028</v>
      </c>
      <c r="I394" s="250">
        <v>1</v>
      </c>
      <c r="J394" s="108"/>
      <c r="K394" s="108"/>
      <c r="L394" s="108">
        <f>ROUND(E386*H394*I394,4)</f>
        <v>0.0065</v>
      </c>
      <c r="S394" s="14">
        <v>319</v>
      </c>
    </row>
    <row r="395" ht="17.25" customHeight="1" spans="1:19">
      <c r="A395" s="241"/>
      <c r="B395" s="47" t="s">
        <v>614</v>
      </c>
      <c r="C395" s="104" t="s">
        <v>615</v>
      </c>
      <c r="D395" s="47" t="s">
        <v>612</v>
      </c>
      <c r="E395" s="108"/>
      <c r="F395" s="246"/>
      <c r="G395" s="246"/>
      <c r="H395" s="246">
        <v>0.028</v>
      </c>
      <c r="I395" s="250">
        <v>1</v>
      </c>
      <c r="J395" s="108"/>
      <c r="K395" s="108"/>
      <c r="L395" s="108">
        <f>ROUND(E386*H395*I395,4)</f>
        <v>0.0065</v>
      </c>
      <c r="S395" s="14">
        <v>311</v>
      </c>
    </row>
    <row r="396" ht="17.25" customHeight="1" spans="1:16">
      <c r="A396" s="241"/>
      <c r="B396" s="47" t="s">
        <v>790</v>
      </c>
      <c r="C396" s="104" t="s">
        <v>791</v>
      </c>
      <c r="D396" s="47" t="s">
        <v>792</v>
      </c>
      <c r="E396" s="108"/>
      <c r="F396" s="246"/>
      <c r="G396" s="246"/>
      <c r="H396" s="246">
        <v>2</v>
      </c>
      <c r="I396" s="250"/>
      <c r="J396" s="108"/>
      <c r="K396" s="108"/>
      <c r="L396" s="108"/>
      <c r="N396" s="14">
        <v>781</v>
      </c>
      <c r="P396" s="14">
        <v>917</v>
      </c>
    </row>
    <row r="397" ht="55.5" customHeight="1" spans="1:12">
      <c r="A397" s="241">
        <v>15</v>
      </c>
      <c r="B397" s="47" t="s">
        <v>394</v>
      </c>
      <c r="C397" s="104" t="s">
        <v>395</v>
      </c>
      <c r="D397" s="47" t="s">
        <v>114</v>
      </c>
      <c r="E397" s="108">
        <v>0.0065</v>
      </c>
      <c r="F397" s="246"/>
      <c r="G397" s="246"/>
      <c r="H397" s="246"/>
      <c r="I397" s="250"/>
      <c r="J397" s="108"/>
      <c r="K397" s="108"/>
      <c r="L397" s="108"/>
    </row>
    <row r="398" ht="17.25" customHeight="1" spans="1:12">
      <c r="A398" s="241"/>
      <c r="B398" s="47"/>
      <c r="C398" s="242" t="s">
        <v>789</v>
      </c>
      <c r="D398" s="243"/>
      <c r="E398" s="244"/>
      <c r="F398" s="245"/>
      <c r="G398" s="245"/>
      <c r="H398" s="245"/>
      <c r="I398" s="249"/>
      <c r="J398" s="244"/>
      <c r="K398" s="244"/>
      <c r="L398" s="244"/>
    </row>
    <row r="399" ht="17.25" customHeight="1" spans="1:19">
      <c r="A399" s="241"/>
      <c r="B399" s="47" t="s">
        <v>575</v>
      </c>
      <c r="C399" s="104" t="s">
        <v>576</v>
      </c>
      <c r="D399" s="47" t="s">
        <v>518</v>
      </c>
      <c r="E399" s="108"/>
      <c r="F399" s="246">
        <v>1020</v>
      </c>
      <c r="G399" s="246"/>
      <c r="H399" s="246"/>
      <c r="I399" s="250">
        <v>1</v>
      </c>
      <c r="J399" s="108">
        <f>ROUND(E397*F399*I399,4)</f>
        <v>6.63</v>
      </c>
      <c r="K399" s="108"/>
      <c r="L399" s="108"/>
      <c r="S399" s="14">
        <v>1116</v>
      </c>
    </row>
    <row r="400" ht="17.25" customHeight="1" spans="1:19">
      <c r="A400" s="241"/>
      <c r="B400" s="47" t="s">
        <v>521</v>
      </c>
      <c r="C400" s="104" t="s">
        <v>522</v>
      </c>
      <c r="D400" s="47" t="s">
        <v>518</v>
      </c>
      <c r="E400" s="108"/>
      <c r="F400" s="246">
        <v>14.28</v>
      </c>
      <c r="G400" s="246"/>
      <c r="H400" s="246"/>
      <c r="I400" s="250">
        <v>1</v>
      </c>
      <c r="J400" s="108">
        <f>ROUND(E397*F400*I400,4)</f>
        <v>0.0928</v>
      </c>
      <c r="K400" s="108"/>
      <c r="L400" s="108"/>
      <c r="S400" s="14">
        <v>112</v>
      </c>
    </row>
    <row r="401" ht="17.25" customHeight="1" spans="1:19">
      <c r="A401" s="241"/>
      <c r="B401" s="47" t="s">
        <v>569</v>
      </c>
      <c r="C401" s="104" t="s">
        <v>570</v>
      </c>
      <c r="D401" s="47" t="s">
        <v>518</v>
      </c>
      <c r="E401" s="108"/>
      <c r="F401" s="246">
        <v>4.64</v>
      </c>
      <c r="G401" s="246"/>
      <c r="H401" s="246"/>
      <c r="I401" s="250">
        <v>1</v>
      </c>
      <c r="J401" s="108">
        <f>ROUND(E397*F401*I401,4)</f>
        <v>0.0302</v>
      </c>
      <c r="K401" s="108"/>
      <c r="L401" s="108"/>
      <c r="S401" s="14">
        <v>1114</v>
      </c>
    </row>
    <row r="402" ht="17.25" customHeight="1" spans="1:12">
      <c r="A402" s="241"/>
      <c r="B402" s="47"/>
      <c r="C402" s="242" t="s">
        <v>787</v>
      </c>
      <c r="D402" s="243"/>
      <c r="E402" s="244"/>
      <c r="F402" s="245"/>
      <c r="G402" s="245"/>
      <c r="H402" s="245"/>
      <c r="I402" s="249"/>
      <c r="J402" s="244"/>
      <c r="K402" s="244"/>
      <c r="L402" s="244"/>
    </row>
    <row r="403" ht="17.25" customHeight="1" spans="1:19">
      <c r="A403" s="241"/>
      <c r="B403" s="47" t="s">
        <v>596</v>
      </c>
      <c r="C403" s="104" t="s">
        <v>597</v>
      </c>
      <c r="D403" s="47" t="s">
        <v>594</v>
      </c>
      <c r="E403" s="108"/>
      <c r="F403" s="246"/>
      <c r="G403" s="246">
        <v>13.42</v>
      </c>
      <c r="H403" s="246"/>
      <c r="I403" s="250">
        <v>1</v>
      </c>
      <c r="J403" s="108"/>
      <c r="K403" s="108">
        <f>ROUND(E397*G403*I403,4)</f>
        <v>0.0872</v>
      </c>
      <c r="L403" s="108"/>
      <c r="S403" s="14">
        <v>211</v>
      </c>
    </row>
    <row r="404" ht="17.25" customHeight="1" spans="1:12">
      <c r="A404" s="241"/>
      <c r="B404" s="47"/>
      <c r="C404" s="242" t="s">
        <v>788</v>
      </c>
      <c r="D404" s="243"/>
      <c r="E404" s="244"/>
      <c r="F404" s="245"/>
      <c r="G404" s="245"/>
      <c r="H404" s="245"/>
      <c r="I404" s="249"/>
      <c r="J404" s="244"/>
      <c r="K404" s="244"/>
      <c r="L404" s="244"/>
    </row>
    <row r="405" ht="17.25" customHeight="1" spans="1:19">
      <c r="A405" s="241"/>
      <c r="B405" s="47" t="s">
        <v>636</v>
      </c>
      <c r="C405" s="104" t="s">
        <v>637</v>
      </c>
      <c r="D405" s="47" t="s">
        <v>612</v>
      </c>
      <c r="E405" s="108"/>
      <c r="F405" s="246"/>
      <c r="G405" s="246"/>
      <c r="H405" s="246">
        <v>1.12</v>
      </c>
      <c r="I405" s="250">
        <v>1</v>
      </c>
      <c r="J405" s="108"/>
      <c r="K405" s="108"/>
      <c r="L405" s="108">
        <f>ROUND(E397*H405*I405,4)</f>
        <v>0.0073</v>
      </c>
      <c r="S405" s="14">
        <v>314</v>
      </c>
    </row>
    <row r="406" ht="17.25" customHeight="1" spans="1:19">
      <c r="A406" s="241"/>
      <c r="B406" s="47" t="s">
        <v>621</v>
      </c>
      <c r="C406" s="104" t="s">
        <v>622</v>
      </c>
      <c r="D406" s="47" t="s">
        <v>612</v>
      </c>
      <c r="E406" s="108"/>
      <c r="F406" s="246"/>
      <c r="G406" s="246"/>
      <c r="H406" s="246">
        <v>0.32</v>
      </c>
      <c r="I406" s="250">
        <v>1</v>
      </c>
      <c r="J406" s="108"/>
      <c r="K406" s="108"/>
      <c r="L406" s="108">
        <f>ROUND(E397*H406*I406,4)</f>
        <v>0.0021</v>
      </c>
      <c r="S406" s="14">
        <v>312</v>
      </c>
    </row>
    <row r="407" ht="17.25" customHeight="1" spans="1:19">
      <c r="A407" s="241"/>
      <c r="B407" s="47" t="s">
        <v>656</v>
      </c>
      <c r="C407" s="104" t="s">
        <v>657</v>
      </c>
      <c r="D407" s="47" t="s">
        <v>612</v>
      </c>
      <c r="E407" s="108"/>
      <c r="F407" s="246"/>
      <c r="G407" s="246"/>
      <c r="H407" s="246">
        <v>0.025</v>
      </c>
      <c r="I407" s="250">
        <v>1</v>
      </c>
      <c r="J407" s="108"/>
      <c r="K407" s="108"/>
      <c r="L407" s="108">
        <f>ROUND(E397*H407*I407,4)</f>
        <v>0.0002</v>
      </c>
      <c r="S407" s="14">
        <v>319</v>
      </c>
    </row>
    <row r="408" ht="17.25" customHeight="1" spans="1:19">
      <c r="A408" s="241"/>
      <c r="B408" s="47" t="s">
        <v>614</v>
      </c>
      <c r="C408" s="104" t="s">
        <v>615</v>
      </c>
      <c r="D408" s="47" t="s">
        <v>612</v>
      </c>
      <c r="E408" s="108"/>
      <c r="F408" s="246"/>
      <c r="G408" s="246"/>
      <c r="H408" s="246">
        <v>0.025</v>
      </c>
      <c r="I408" s="250">
        <v>1</v>
      </c>
      <c r="J408" s="108"/>
      <c r="K408" s="108"/>
      <c r="L408" s="108">
        <f>ROUND(E397*H408*I408,4)</f>
        <v>0.0002</v>
      </c>
      <c r="S408" s="14">
        <v>311</v>
      </c>
    </row>
    <row r="409" ht="17.25" customHeight="1" spans="1:16">
      <c r="A409" s="241"/>
      <c r="B409" s="47" t="s">
        <v>790</v>
      </c>
      <c r="C409" s="104" t="s">
        <v>791</v>
      </c>
      <c r="D409" s="47" t="s">
        <v>792</v>
      </c>
      <c r="E409" s="108"/>
      <c r="F409" s="246"/>
      <c r="G409" s="246"/>
      <c r="H409" s="246">
        <v>2</v>
      </c>
      <c r="I409" s="250"/>
      <c r="J409" s="108"/>
      <c r="K409" s="108"/>
      <c r="L409" s="108"/>
      <c r="N409" s="14">
        <v>66</v>
      </c>
      <c r="P409" s="14">
        <v>74</v>
      </c>
    </row>
    <row r="410" ht="67.5" customHeight="1" spans="1:12">
      <c r="A410" s="241">
        <v>16</v>
      </c>
      <c r="B410" s="47" t="s">
        <v>399</v>
      </c>
      <c r="C410" s="104" t="s">
        <v>400</v>
      </c>
      <c r="D410" s="47" t="s">
        <v>55</v>
      </c>
      <c r="E410" s="108">
        <v>12.6945</v>
      </c>
      <c r="F410" s="246"/>
      <c r="G410" s="246"/>
      <c r="H410" s="246"/>
      <c r="I410" s="250"/>
      <c r="J410" s="108"/>
      <c r="K410" s="108"/>
      <c r="L410" s="108"/>
    </row>
    <row r="411" ht="17.25" customHeight="1" spans="1:12">
      <c r="A411" s="241"/>
      <c r="B411" s="47"/>
      <c r="C411" s="242" t="s">
        <v>789</v>
      </c>
      <c r="D411" s="243"/>
      <c r="E411" s="244"/>
      <c r="F411" s="245"/>
      <c r="G411" s="245"/>
      <c r="H411" s="245"/>
      <c r="I411" s="249"/>
      <c r="J411" s="244"/>
      <c r="K411" s="244"/>
      <c r="L411" s="244"/>
    </row>
    <row r="412" ht="30" customHeight="1" spans="1:19">
      <c r="A412" s="241"/>
      <c r="B412" s="47" t="s">
        <v>156</v>
      </c>
      <c r="C412" s="104" t="s">
        <v>585</v>
      </c>
      <c r="D412" s="47" t="s">
        <v>55</v>
      </c>
      <c r="E412" s="108"/>
      <c r="F412" s="246">
        <v>1.015</v>
      </c>
      <c r="G412" s="246"/>
      <c r="H412" s="246"/>
      <c r="I412" s="250">
        <v>1</v>
      </c>
      <c r="J412" s="108">
        <f>ROUND(E410*F412*I412,4)</f>
        <v>12.8849</v>
      </c>
      <c r="K412" s="108"/>
      <c r="L412" s="108"/>
      <c r="Q412" s="14">
        <v>0</v>
      </c>
      <c r="R412" s="14">
        <v>0</v>
      </c>
      <c r="S412" s="14">
        <v>1120</v>
      </c>
    </row>
    <row r="413" ht="17.25" customHeight="1" spans="1:15">
      <c r="A413" s="241"/>
      <c r="B413" s="47" t="s">
        <v>793</v>
      </c>
      <c r="C413" s="104" t="s">
        <v>794</v>
      </c>
      <c r="D413" s="47" t="s">
        <v>792</v>
      </c>
      <c r="E413" s="108"/>
      <c r="F413" s="246">
        <v>1</v>
      </c>
      <c r="G413" s="246"/>
      <c r="H413" s="246"/>
      <c r="I413" s="250"/>
      <c r="J413" s="108"/>
      <c r="K413" s="108"/>
      <c r="L413" s="108"/>
      <c r="M413" s="14">
        <v>146002</v>
      </c>
      <c r="O413" s="14">
        <v>141734</v>
      </c>
    </row>
    <row r="414" ht="17.25" customHeight="1" spans="1:12">
      <c r="A414" s="241"/>
      <c r="B414" s="47"/>
      <c r="C414" s="242" t="s">
        <v>787</v>
      </c>
      <c r="D414" s="243"/>
      <c r="E414" s="244"/>
      <c r="F414" s="245"/>
      <c r="G414" s="245"/>
      <c r="H414" s="245"/>
      <c r="I414" s="249"/>
      <c r="J414" s="244"/>
      <c r="K414" s="244"/>
      <c r="L414" s="244"/>
    </row>
    <row r="415" ht="17.25" customHeight="1" spans="1:19">
      <c r="A415" s="241"/>
      <c r="B415" s="47" t="s">
        <v>596</v>
      </c>
      <c r="C415" s="104" t="s">
        <v>597</v>
      </c>
      <c r="D415" s="47" t="s">
        <v>594</v>
      </c>
      <c r="E415" s="108"/>
      <c r="F415" s="246"/>
      <c r="G415" s="246">
        <v>2.56</v>
      </c>
      <c r="H415" s="246"/>
      <c r="I415" s="250">
        <v>1</v>
      </c>
      <c r="J415" s="108"/>
      <c r="K415" s="108">
        <f>ROUND(E410*G415*I415,4)</f>
        <v>32.4979</v>
      </c>
      <c r="L415" s="108"/>
      <c r="S415" s="14">
        <v>211</v>
      </c>
    </row>
    <row r="416" ht="17.25" customHeight="1" spans="1:12">
      <c r="A416" s="241"/>
      <c r="B416" s="47"/>
      <c r="C416" s="242" t="s">
        <v>788</v>
      </c>
      <c r="D416" s="243"/>
      <c r="E416" s="244"/>
      <c r="F416" s="245"/>
      <c r="G416" s="245"/>
      <c r="H416" s="245"/>
      <c r="I416" s="249"/>
      <c r="J416" s="244"/>
      <c r="K416" s="244"/>
      <c r="L416" s="244"/>
    </row>
    <row r="417" ht="17.25" customHeight="1" spans="1:19">
      <c r="A417" s="241"/>
      <c r="B417" s="47" t="s">
        <v>660</v>
      </c>
      <c r="C417" s="104" t="s">
        <v>661</v>
      </c>
      <c r="D417" s="47" t="s">
        <v>612</v>
      </c>
      <c r="E417" s="108"/>
      <c r="F417" s="246"/>
      <c r="G417" s="246"/>
      <c r="H417" s="246">
        <v>0.033</v>
      </c>
      <c r="I417" s="250">
        <v>1</v>
      </c>
      <c r="J417" s="108"/>
      <c r="K417" s="108"/>
      <c r="L417" s="108">
        <f>ROUND(E410*H417*I417,4)</f>
        <v>0.4189</v>
      </c>
      <c r="S417" s="14">
        <v>3110</v>
      </c>
    </row>
    <row r="418" ht="17.25" customHeight="1" spans="1:19">
      <c r="A418" s="241"/>
      <c r="B418" s="47" t="s">
        <v>633</v>
      </c>
      <c r="C418" s="104" t="s">
        <v>634</v>
      </c>
      <c r="D418" s="47" t="s">
        <v>612</v>
      </c>
      <c r="E418" s="108"/>
      <c r="F418" s="246"/>
      <c r="G418" s="246"/>
      <c r="H418" s="246">
        <v>0.18</v>
      </c>
      <c r="I418" s="250">
        <v>1</v>
      </c>
      <c r="J418" s="108"/>
      <c r="K418" s="108"/>
      <c r="L418" s="108">
        <f>ROUND(E410*H418*I418,4)</f>
        <v>2.285</v>
      </c>
      <c r="S418" s="14">
        <v>313</v>
      </c>
    </row>
    <row r="419" ht="17.25" customHeight="1" spans="1:16">
      <c r="A419" s="241"/>
      <c r="B419" s="47" t="s">
        <v>790</v>
      </c>
      <c r="C419" s="104" t="s">
        <v>791</v>
      </c>
      <c r="D419" s="47" t="s">
        <v>792</v>
      </c>
      <c r="E419" s="108"/>
      <c r="F419" s="246"/>
      <c r="G419" s="246"/>
      <c r="H419" s="246">
        <v>1</v>
      </c>
      <c r="I419" s="250"/>
      <c r="J419" s="108"/>
      <c r="K419" s="108"/>
      <c r="L419" s="108"/>
      <c r="N419" s="14">
        <v>20318</v>
      </c>
      <c r="P419" s="14">
        <v>22270</v>
      </c>
    </row>
    <row r="420" ht="55.5" customHeight="1" spans="1:12">
      <c r="A420" s="241">
        <v>17</v>
      </c>
      <c r="B420" s="47" t="s">
        <v>399</v>
      </c>
      <c r="C420" s="104" t="s">
        <v>403</v>
      </c>
      <c r="D420" s="47" t="s">
        <v>55</v>
      </c>
      <c r="E420" s="108">
        <v>30.9134</v>
      </c>
      <c r="F420" s="246"/>
      <c r="G420" s="246"/>
      <c r="H420" s="246"/>
      <c r="I420" s="250"/>
      <c r="J420" s="108"/>
      <c r="K420" s="108"/>
      <c r="L420" s="108"/>
    </row>
    <row r="421" ht="17.25" customHeight="1" spans="1:12">
      <c r="A421" s="241"/>
      <c r="B421" s="47"/>
      <c r="C421" s="242" t="s">
        <v>789</v>
      </c>
      <c r="D421" s="243"/>
      <c r="E421" s="244"/>
      <c r="F421" s="245"/>
      <c r="G421" s="245"/>
      <c r="H421" s="245"/>
      <c r="I421" s="249"/>
      <c r="J421" s="244"/>
      <c r="K421" s="244"/>
      <c r="L421" s="244"/>
    </row>
    <row r="422" ht="30" customHeight="1" spans="1:19">
      <c r="A422" s="241"/>
      <c r="B422" s="47" t="s">
        <v>156</v>
      </c>
      <c r="C422" s="104" t="s">
        <v>585</v>
      </c>
      <c r="D422" s="47" t="s">
        <v>55</v>
      </c>
      <c r="E422" s="108"/>
      <c r="F422" s="246">
        <v>1.015</v>
      </c>
      <c r="G422" s="246"/>
      <c r="H422" s="246"/>
      <c r="I422" s="250">
        <v>1</v>
      </c>
      <c r="J422" s="108">
        <f>ROUND(E420*F422*I422,4)</f>
        <v>31.3771</v>
      </c>
      <c r="K422" s="108"/>
      <c r="L422" s="108"/>
      <c r="Q422" s="14">
        <v>0</v>
      </c>
      <c r="R422" s="14">
        <v>0</v>
      </c>
      <c r="S422" s="14">
        <v>1120</v>
      </c>
    </row>
    <row r="423" ht="17.25" customHeight="1" spans="1:15">
      <c r="A423" s="241"/>
      <c r="B423" s="47" t="s">
        <v>793</v>
      </c>
      <c r="C423" s="104" t="s">
        <v>794</v>
      </c>
      <c r="D423" s="47" t="s">
        <v>792</v>
      </c>
      <c r="E423" s="108"/>
      <c r="F423" s="246">
        <v>1</v>
      </c>
      <c r="G423" s="246"/>
      <c r="H423" s="246"/>
      <c r="I423" s="250"/>
      <c r="J423" s="108"/>
      <c r="K423" s="108"/>
      <c r="L423" s="108"/>
      <c r="M423" s="14">
        <v>355540</v>
      </c>
      <c r="O423" s="14">
        <v>345148</v>
      </c>
    </row>
    <row r="424" ht="17.25" customHeight="1" spans="1:12">
      <c r="A424" s="241"/>
      <c r="B424" s="47"/>
      <c r="C424" s="242" t="s">
        <v>787</v>
      </c>
      <c r="D424" s="243"/>
      <c r="E424" s="244"/>
      <c r="F424" s="245"/>
      <c r="G424" s="245"/>
      <c r="H424" s="245"/>
      <c r="I424" s="249"/>
      <c r="J424" s="244"/>
      <c r="K424" s="244"/>
      <c r="L424" s="244"/>
    </row>
    <row r="425" ht="17.25" customHeight="1" spans="1:19">
      <c r="A425" s="241"/>
      <c r="B425" s="47" t="s">
        <v>596</v>
      </c>
      <c r="C425" s="104" t="s">
        <v>597</v>
      </c>
      <c r="D425" s="47" t="s">
        <v>594</v>
      </c>
      <c r="E425" s="108"/>
      <c r="F425" s="246"/>
      <c r="G425" s="246">
        <v>2.56</v>
      </c>
      <c r="H425" s="246"/>
      <c r="I425" s="250">
        <v>1</v>
      </c>
      <c r="J425" s="108"/>
      <c r="K425" s="108">
        <f>ROUND(E420*G425*I425,4)</f>
        <v>79.1383</v>
      </c>
      <c r="L425" s="108"/>
      <c r="S425" s="14">
        <v>211</v>
      </c>
    </row>
    <row r="426" ht="17.25" customHeight="1" spans="1:12">
      <c r="A426" s="241"/>
      <c r="B426" s="47"/>
      <c r="C426" s="242" t="s">
        <v>788</v>
      </c>
      <c r="D426" s="243"/>
      <c r="E426" s="244"/>
      <c r="F426" s="245"/>
      <c r="G426" s="245"/>
      <c r="H426" s="245"/>
      <c r="I426" s="249"/>
      <c r="J426" s="244"/>
      <c r="K426" s="244"/>
      <c r="L426" s="244"/>
    </row>
    <row r="427" ht="17.25" customHeight="1" spans="1:19">
      <c r="A427" s="241"/>
      <c r="B427" s="47" t="s">
        <v>660</v>
      </c>
      <c r="C427" s="104" t="s">
        <v>661</v>
      </c>
      <c r="D427" s="47" t="s">
        <v>612</v>
      </c>
      <c r="E427" s="108"/>
      <c r="F427" s="246"/>
      <c r="G427" s="246"/>
      <c r="H427" s="246">
        <v>0.033</v>
      </c>
      <c r="I427" s="250">
        <v>1</v>
      </c>
      <c r="J427" s="108"/>
      <c r="K427" s="108"/>
      <c r="L427" s="108">
        <f>ROUND(E420*H427*I427,4)</f>
        <v>1.0201</v>
      </c>
      <c r="S427" s="14">
        <v>3110</v>
      </c>
    </row>
    <row r="428" ht="17.25" customHeight="1" spans="1:19">
      <c r="A428" s="241"/>
      <c r="B428" s="47" t="s">
        <v>633</v>
      </c>
      <c r="C428" s="104" t="s">
        <v>634</v>
      </c>
      <c r="D428" s="47" t="s">
        <v>612</v>
      </c>
      <c r="E428" s="108"/>
      <c r="F428" s="246"/>
      <c r="G428" s="246"/>
      <c r="H428" s="246">
        <v>0.18</v>
      </c>
      <c r="I428" s="250">
        <v>1</v>
      </c>
      <c r="J428" s="108"/>
      <c r="K428" s="108"/>
      <c r="L428" s="108">
        <f>ROUND(E420*H428*I428,4)</f>
        <v>5.5644</v>
      </c>
      <c r="S428" s="14">
        <v>313</v>
      </c>
    </row>
    <row r="429" ht="17.25" customHeight="1" spans="1:16">
      <c r="A429" s="241"/>
      <c r="B429" s="47" t="s">
        <v>790</v>
      </c>
      <c r="C429" s="104" t="s">
        <v>791</v>
      </c>
      <c r="D429" s="47" t="s">
        <v>792</v>
      </c>
      <c r="E429" s="108"/>
      <c r="F429" s="246"/>
      <c r="G429" s="246"/>
      <c r="H429" s="246">
        <v>1</v>
      </c>
      <c r="I429" s="250"/>
      <c r="J429" s="108"/>
      <c r="K429" s="108"/>
      <c r="L429" s="108"/>
      <c r="N429" s="14">
        <v>49479</v>
      </c>
      <c r="P429" s="14">
        <v>54231</v>
      </c>
    </row>
    <row r="430" ht="55.5" customHeight="1" spans="1:12">
      <c r="A430" s="241">
        <v>18</v>
      </c>
      <c r="B430" s="47" t="s">
        <v>404</v>
      </c>
      <c r="C430" s="104" t="s">
        <v>405</v>
      </c>
      <c r="D430" s="47" t="s">
        <v>55</v>
      </c>
      <c r="E430" s="108">
        <v>1.7317</v>
      </c>
      <c r="F430" s="246"/>
      <c r="G430" s="246"/>
      <c r="H430" s="246"/>
      <c r="I430" s="250"/>
      <c r="J430" s="108"/>
      <c r="K430" s="108"/>
      <c r="L430" s="108"/>
    </row>
    <row r="431" ht="17.25" customHeight="1" spans="1:12">
      <c r="A431" s="241"/>
      <c r="B431" s="47"/>
      <c r="C431" s="242" t="s">
        <v>789</v>
      </c>
      <c r="D431" s="243"/>
      <c r="E431" s="244"/>
      <c r="F431" s="245"/>
      <c r="G431" s="245"/>
      <c r="H431" s="245"/>
      <c r="I431" s="249"/>
      <c r="J431" s="244"/>
      <c r="K431" s="244"/>
      <c r="L431" s="244"/>
    </row>
    <row r="432" ht="30" customHeight="1" spans="1:19">
      <c r="A432" s="241"/>
      <c r="B432" s="47" t="s">
        <v>156</v>
      </c>
      <c r="C432" s="104" t="s">
        <v>585</v>
      </c>
      <c r="D432" s="47" t="s">
        <v>55</v>
      </c>
      <c r="E432" s="108"/>
      <c r="F432" s="246">
        <v>1.015</v>
      </c>
      <c r="G432" s="246"/>
      <c r="H432" s="246"/>
      <c r="I432" s="250">
        <v>1</v>
      </c>
      <c r="J432" s="108">
        <f>ROUND(E430*F432*I432,4)</f>
        <v>1.7577</v>
      </c>
      <c r="K432" s="108"/>
      <c r="L432" s="108"/>
      <c r="Q432" s="14">
        <v>0</v>
      </c>
      <c r="R432" s="14">
        <v>0</v>
      </c>
      <c r="S432" s="14">
        <v>1120</v>
      </c>
    </row>
    <row r="433" ht="17.25" customHeight="1" spans="1:19">
      <c r="A433" s="241"/>
      <c r="B433" s="47" t="s">
        <v>560</v>
      </c>
      <c r="C433" s="104" t="s">
        <v>561</v>
      </c>
      <c r="D433" s="47" t="s">
        <v>55</v>
      </c>
      <c r="E433" s="108"/>
      <c r="F433" s="246">
        <v>0.049</v>
      </c>
      <c r="G433" s="246"/>
      <c r="H433" s="246"/>
      <c r="I433" s="250">
        <v>1</v>
      </c>
      <c r="J433" s="108">
        <f>ROUND(E430*F433*I433,4)</f>
        <v>0.0849</v>
      </c>
      <c r="K433" s="108"/>
      <c r="L433" s="108"/>
      <c r="Q433" s="14">
        <v>0</v>
      </c>
      <c r="R433" s="14">
        <v>0</v>
      </c>
      <c r="S433" s="14">
        <v>1111</v>
      </c>
    </row>
    <row r="434" ht="17.25" customHeight="1" spans="1:19">
      <c r="A434" s="241"/>
      <c r="B434" s="47" t="s">
        <v>536</v>
      </c>
      <c r="C434" s="104" t="s">
        <v>537</v>
      </c>
      <c r="D434" s="47" t="s">
        <v>518</v>
      </c>
      <c r="E434" s="108"/>
      <c r="F434" s="246">
        <v>0.199</v>
      </c>
      <c r="G434" s="246"/>
      <c r="H434" s="246"/>
      <c r="I434" s="250">
        <v>1</v>
      </c>
      <c r="J434" s="108">
        <f>ROUND(E430*F434*I434,4)</f>
        <v>0.3446</v>
      </c>
      <c r="K434" s="108"/>
      <c r="L434" s="108"/>
      <c r="Q434" s="14">
        <v>0</v>
      </c>
      <c r="R434" s="14">
        <v>0</v>
      </c>
      <c r="S434" s="14">
        <v>114</v>
      </c>
    </row>
    <row r="435" ht="17.25" customHeight="1" spans="1:19">
      <c r="A435" s="241"/>
      <c r="B435" s="47" t="s">
        <v>539</v>
      </c>
      <c r="C435" s="104" t="s">
        <v>540</v>
      </c>
      <c r="D435" s="47" t="s">
        <v>450</v>
      </c>
      <c r="E435" s="108"/>
      <c r="F435" s="246">
        <v>0.871</v>
      </c>
      <c r="G435" s="246"/>
      <c r="H435" s="246"/>
      <c r="I435" s="250">
        <v>1</v>
      </c>
      <c r="J435" s="108">
        <f>ROUND(E430*F435*I435,4)</f>
        <v>1.5083</v>
      </c>
      <c r="K435" s="108"/>
      <c r="L435" s="108"/>
      <c r="Q435" s="14">
        <v>0</v>
      </c>
      <c r="R435" s="14">
        <v>0</v>
      </c>
      <c r="S435" s="14">
        <v>115</v>
      </c>
    </row>
    <row r="436" ht="17.25" customHeight="1" spans="1:15">
      <c r="A436" s="241"/>
      <c r="B436" s="47" t="s">
        <v>793</v>
      </c>
      <c r="C436" s="104" t="s">
        <v>794</v>
      </c>
      <c r="D436" s="47" t="s">
        <v>792</v>
      </c>
      <c r="E436" s="108"/>
      <c r="F436" s="246">
        <v>2</v>
      </c>
      <c r="G436" s="246"/>
      <c r="H436" s="246"/>
      <c r="I436" s="250"/>
      <c r="J436" s="108"/>
      <c r="K436" s="108"/>
      <c r="L436" s="108"/>
      <c r="M436" s="14">
        <v>43449</v>
      </c>
      <c r="O436" s="14">
        <v>42291</v>
      </c>
    </row>
    <row r="437" ht="17.25" customHeight="1" spans="1:12">
      <c r="A437" s="241"/>
      <c r="B437" s="47"/>
      <c r="C437" s="242" t="s">
        <v>787</v>
      </c>
      <c r="D437" s="243"/>
      <c r="E437" s="244"/>
      <c r="F437" s="245"/>
      <c r="G437" s="245"/>
      <c r="H437" s="245"/>
      <c r="I437" s="249"/>
      <c r="J437" s="244"/>
      <c r="K437" s="244"/>
      <c r="L437" s="244"/>
    </row>
    <row r="438" ht="17.25" customHeight="1" spans="1:19">
      <c r="A438" s="241"/>
      <c r="B438" s="47" t="s">
        <v>596</v>
      </c>
      <c r="C438" s="104" t="s">
        <v>597</v>
      </c>
      <c r="D438" s="47" t="s">
        <v>594</v>
      </c>
      <c r="E438" s="108"/>
      <c r="F438" s="246"/>
      <c r="G438" s="246">
        <v>3.22</v>
      </c>
      <c r="H438" s="246"/>
      <c r="I438" s="250">
        <v>1</v>
      </c>
      <c r="J438" s="108"/>
      <c r="K438" s="108">
        <f>ROUND(E430*G438*I438,4)</f>
        <v>5.5761</v>
      </c>
      <c r="L438" s="108"/>
      <c r="S438" s="14">
        <v>211</v>
      </c>
    </row>
    <row r="439" ht="17.25" customHeight="1" spans="1:12">
      <c r="A439" s="241"/>
      <c r="B439" s="47"/>
      <c r="C439" s="242" t="s">
        <v>788</v>
      </c>
      <c r="D439" s="243"/>
      <c r="E439" s="244"/>
      <c r="F439" s="245"/>
      <c r="G439" s="245"/>
      <c r="H439" s="245"/>
      <c r="I439" s="249"/>
      <c r="J439" s="244"/>
      <c r="K439" s="244"/>
      <c r="L439" s="244"/>
    </row>
    <row r="440" ht="17.25" customHeight="1" spans="1:19">
      <c r="A440" s="241"/>
      <c r="B440" s="47" t="s">
        <v>660</v>
      </c>
      <c r="C440" s="104" t="s">
        <v>661</v>
      </c>
      <c r="D440" s="47" t="s">
        <v>612</v>
      </c>
      <c r="E440" s="108"/>
      <c r="F440" s="246"/>
      <c r="G440" s="246"/>
      <c r="H440" s="246">
        <v>0.033</v>
      </c>
      <c r="I440" s="250">
        <v>1</v>
      </c>
      <c r="J440" s="108"/>
      <c r="K440" s="108"/>
      <c r="L440" s="108">
        <f>ROUND(E430*H440*I440,4)</f>
        <v>0.0571</v>
      </c>
      <c r="S440" s="14">
        <v>3110</v>
      </c>
    </row>
    <row r="441" ht="17.25" customHeight="1" spans="1:19">
      <c r="A441" s="241"/>
      <c r="B441" s="47" t="s">
        <v>633</v>
      </c>
      <c r="C441" s="104" t="s">
        <v>634</v>
      </c>
      <c r="D441" s="47" t="s">
        <v>612</v>
      </c>
      <c r="E441" s="108"/>
      <c r="F441" s="246"/>
      <c r="G441" s="246"/>
      <c r="H441" s="246">
        <v>0.18</v>
      </c>
      <c r="I441" s="250">
        <v>1</v>
      </c>
      <c r="J441" s="108"/>
      <c r="K441" s="108"/>
      <c r="L441" s="108">
        <f>ROUND(E430*H441*I441,4)</f>
        <v>0.3117</v>
      </c>
      <c r="S441" s="14">
        <v>313</v>
      </c>
    </row>
    <row r="442" ht="17.25" customHeight="1" spans="1:16">
      <c r="A442" s="241"/>
      <c r="B442" s="47" t="s">
        <v>790</v>
      </c>
      <c r="C442" s="104" t="s">
        <v>791</v>
      </c>
      <c r="D442" s="47" t="s">
        <v>792</v>
      </c>
      <c r="E442" s="108"/>
      <c r="F442" s="246"/>
      <c r="G442" s="246"/>
      <c r="H442" s="246">
        <v>1</v>
      </c>
      <c r="I442" s="250"/>
      <c r="J442" s="108"/>
      <c r="K442" s="108"/>
      <c r="L442" s="108"/>
      <c r="N442" s="14">
        <v>2772</v>
      </c>
      <c r="P442" s="14">
        <v>3038</v>
      </c>
    </row>
    <row r="443" ht="80.25" customHeight="1" spans="1:12">
      <c r="A443" s="241">
        <v>19</v>
      </c>
      <c r="B443" s="47" t="s">
        <v>252</v>
      </c>
      <c r="C443" s="104" t="s">
        <v>408</v>
      </c>
      <c r="D443" s="47" t="s">
        <v>107</v>
      </c>
      <c r="E443" s="108">
        <v>0.0176</v>
      </c>
      <c r="F443" s="246"/>
      <c r="G443" s="246"/>
      <c r="H443" s="246"/>
      <c r="I443" s="250"/>
      <c r="J443" s="108"/>
      <c r="K443" s="108"/>
      <c r="L443" s="108"/>
    </row>
    <row r="444" ht="17.25" customHeight="1" spans="1:12">
      <c r="A444" s="241"/>
      <c r="B444" s="47"/>
      <c r="C444" s="242" t="s">
        <v>789</v>
      </c>
      <c r="D444" s="243"/>
      <c r="E444" s="244"/>
      <c r="F444" s="245"/>
      <c r="G444" s="245"/>
      <c r="H444" s="245"/>
      <c r="I444" s="249"/>
      <c r="J444" s="244"/>
      <c r="K444" s="244"/>
      <c r="L444" s="244"/>
    </row>
    <row r="445" ht="17.25" customHeight="1" spans="1:19">
      <c r="A445" s="241"/>
      <c r="B445" s="47" t="s">
        <v>581</v>
      </c>
      <c r="C445" s="104" t="s">
        <v>582</v>
      </c>
      <c r="D445" s="47" t="s">
        <v>583</v>
      </c>
      <c r="E445" s="108"/>
      <c r="F445" s="246">
        <v>15</v>
      </c>
      <c r="G445" s="246"/>
      <c r="H445" s="246"/>
      <c r="I445" s="250">
        <v>1</v>
      </c>
      <c r="J445" s="108">
        <f>ROUND(E443*F445*I445,4)</f>
        <v>0.264</v>
      </c>
      <c r="K445" s="108"/>
      <c r="L445" s="108"/>
      <c r="Q445" s="14">
        <v>0</v>
      </c>
      <c r="R445" s="14">
        <v>0</v>
      </c>
      <c r="S445" s="14">
        <v>1118</v>
      </c>
    </row>
    <row r="446" ht="17.25" customHeight="1" spans="1:19">
      <c r="A446" s="241"/>
      <c r="B446" s="47" t="s">
        <v>562</v>
      </c>
      <c r="C446" s="104" t="s">
        <v>563</v>
      </c>
      <c r="D446" s="47" t="s">
        <v>518</v>
      </c>
      <c r="E446" s="108"/>
      <c r="F446" s="246">
        <v>15.05</v>
      </c>
      <c r="G446" s="246"/>
      <c r="H446" s="246"/>
      <c r="I446" s="250">
        <v>1</v>
      </c>
      <c r="J446" s="108">
        <f>ROUND(E443*F446*I446,4)</f>
        <v>0.2649</v>
      </c>
      <c r="K446" s="108"/>
      <c r="L446" s="108"/>
      <c r="Q446" s="14">
        <v>0</v>
      </c>
      <c r="R446" s="14">
        <v>0</v>
      </c>
      <c r="S446" s="14">
        <v>1112</v>
      </c>
    </row>
    <row r="447" ht="17.25" customHeight="1" spans="1:19">
      <c r="A447" s="241"/>
      <c r="B447" s="47" t="s">
        <v>516</v>
      </c>
      <c r="C447" s="104" t="s">
        <v>517</v>
      </c>
      <c r="D447" s="47" t="s">
        <v>518</v>
      </c>
      <c r="E447" s="108"/>
      <c r="F447" s="246">
        <v>40</v>
      </c>
      <c r="G447" s="246"/>
      <c r="H447" s="246"/>
      <c r="I447" s="250">
        <v>1</v>
      </c>
      <c r="J447" s="108">
        <f>ROUND(E443*F447*I447,4)</f>
        <v>0.704</v>
      </c>
      <c r="K447" s="108"/>
      <c r="L447" s="108"/>
      <c r="Q447" s="14">
        <v>0</v>
      </c>
      <c r="R447" s="14">
        <v>0</v>
      </c>
      <c r="S447" s="14">
        <v>111</v>
      </c>
    </row>
    <row r="448" ht="17.25" customHeight="1" spans="1:15">
      <c r="A448" s="241"/>
      <c r="B448" s="47" t="s">
        <v>793</v>
      </c>
      <c r="C448" s="104" t="s">
        <v>794</v>
      </c>
      <c r="D448" s="47" t="s">
        <v>792</v>
      </c>
      <c r="E448" s="108"/>
      <c r="F448" s="246">
        <v>5</v>
      </c>
      <c r="G448" s="246"/>
      <c r="H448" s="246"/>
      <c r="I448" s="250"/>
      <c r="J448" s="108"/>
      <c r="K448" s="108"/>
      <c r="L448" s="108"/>
      <c r="M448" s="14">
        <v>570</v>
      </c>
      <c r="O448" s="14">
        <v>4124</v>
      </c>
    </row>
    <row r="449" ht="17.25" customHeight="1" spans="1:12">
      <c r="A449" s="241"/>
      <c r="B449" s="47"/>
      <c r="C449" s="242" t="s">
        <v>787</v>
      </c>
      <c r="D449" s="243"/>
      <c r="E449" s="244"/>
      <c r="F449" s="245"/>
      <c r="G449" s="245"/>
      <c r="H449" s="245"/>
      <c r="I449" s="249"/>
      <c r="J449" s="244"/>
      <c r="K449" s="244"/>
      <c r="L449" s="244"/>
    </row>
    <row r="450" ht="17.25" customHeight="1" spans="1:19">
      <c r="A450" s="241"/>
      <c r="B450" s="47" t="s">
        <v>602</v>
      </c>
      <c r="C450" s="104" t="s">
        <v>603</v>
      </c>
      <c r="D450" s="47" t="s">
        <v>594</v>
      </c>
      <c r="E450" s="108"/>
      <c r="F450" s="246"/>
      <c r="G450" s="246">
        <v>23.64</v>
      </c>
      <c r="H450" s="246"/>
      <c r="I450" s="250">
        <v>1</v>
      </c>
      <c r="J450" s="108"/>
      <c r="K450" s="108">
        <f>ROUND(E443*G450*I450,4)</f>
        <v>0.4161</v>
      </c>
      <c r="L450" s="108"/>
      <c r="S450" s="14">
        <v>212</v>
      </c>
    </row>
    <row r="451" ht="17.25" customHeight="1" spans="1:12">
      <c r="A451" s="241"/>
      <c r="B451" s="47"/>
      <c r="C451" s="242" t="s">
        <v>788</v>
      </c>
      <c r="D451" s="243"/>
      <c r="E451" s="244"/>
      <c r="F451" s="245"/>
      <c r="G451" s="245"/>
      <c r="H451" s="245"/>
      <c r="I451" s="249"/>
      <c r="J451" s="244"/>
      <c r="K451" s="244"/>
      <c r="L451" s="244"/>
    </row>
    <row r="452" ht="17.25" customHeight="1" spans="1:19">
      <c r="A452" s="241"/>
      <c r="B452" s="47" t="s">
        <v>659</v>
      </c>
      <c r="C452" s="104" t="s">
        <v>657</v>
      </c>
      <c r="D452" s="47" t="s">
        <v>612</v>
      </c>
      <c r="E452" s="108"/>
      <c r="F452" s="246"/>
      <c r="G452" s="246"/>
      <c r="H452" s="246">
        <v>0.25</v>
      </c>
      <c r="I452" s="250">
        <v>1</v>
      </c>
      <c r="J452" s="108"/>
      <c r="K452" s="108"/>
      <c r="L452" s="108">
        <f>ROUND(E443*H452*I452,4)</f>
        <v>0.0044</v>
      </c>
      <c r="S452" s="14">
        <v>318</v>
      </c>
    </row>
    <row r="453" ht="17.25" customHeight="1" spans="1:19">
      <c r="A453" s="241"/>
      <c r="B453" s="47" t="s">
        <v>614</v>
      </c>
      <c r="C453" s="104" t="s">
        <v>615</v>
      </c>
      <c r="D453" s="47" t="s">
        <v>612</v>
      </c>
      <c r="E453" s="108"/>
      <c r="F453" s="246"/>
      <c r="G453" s="246"/>
      <c r="H453" s="246">
        <v>0.25</v>
      </c>
      <c r="I453" s="250">
        <v>1</v>
      </c>
      <c r="J453" s="108"/>
      <c r="K453" s="108"/>
      <c r="L453" s="108">
        <f>ROUND(E443*H453*I453,4)</f>
        <v>0.0044</v>
      </c>
      <c r="S453" s="14">
        <v>311</v>
      </c>
    </row>
    <row r="454" ht="17.25" customHeight="1" spans="1:16">
      <c r="A454" s="241"/>
      <c r="B454" s="47" t="s">
        <v>790</v>
      </c>
      <c r="C454" s="104" t="s">
        <v>791</v>
      </c>
      <c r="D454" s="47" t="s">
        <v>792</v>
      </c>
      <c r="E454" s="108"/>
      <c r="F454" s="246"/>
      <c r="G454" s="246"/>
      <c r="H454" s="246">
        <v>2</v>
      </c>
      <c r="I454" s="250"/>
      <c r="J454" s="108"/>
      <c r="K454" s="108"/>
      <c r="L454" s="108"/>
      <c r="N454" s="14">
        <v>225</v>
      </c>
      <c r="P454" s="14">
        <v>319</v>
      </c>
    </row>
    <row r="455" ht="67.5" customHeight="1" spans="1:12">
      <c r="A455" s="241">
        <v>20</v>
      </c>
      <c r="B455" s="47" t="s">
        <v>313</v>
      </c>
      <c r="C455" s="104" t="s">
        <v>410</v>
      </c>
      <c r="D455" s="47" t="s">
        <v>114</v>
      </c>
      <c r="E455" s="108">
        <v>0.009</v>
      </c>
      <c r="F455" s="246"/>
      <c r="G455" s="246"/>
      <c r="H455" s="246"/>
      <c r="I455" s="250"/>
      <c r="J455" s="108"/>
      <c r="K455" s="108"/>
      <c r="L455" s="108"/>
    </row>
    <row r="456" ht="17.25" customHeight="1" spans="1:12">
      <c r="A456" s="241"/>
      <c r="B456" s="47"/>
      <c r="C456" s="242" t="s">
        <v>789</v>
      </c>
      <c r="D456" s="243"/>
      <c r="E456" s="244"/>
      <c r="F456" s="245"/>
      <c r="G456" s="245"/>
      <c r="H456" s="245"/>
      <c r="I456" s="249"/>
      <c r="J456" s="244"/>
      <c r="K456" s="244"/>
      <c r="L456" s="244"/>
    </row>
    <row r="457" ht="17.25" customHeight="1" spans="1:19">
      <c r="A457" s="241"/>
      <c r="B457" s="47" t="s">
        <v>572</v>
      </c>
      <c r="C457" s="104" t="s">
        <v>573</v>
      </c>
      <c r="D457" s="47" t="s">
        <v>518</v>
      </c>
      <c r="E457" s="108"/>
      <c r="F457" s="246">
        <v>1005</v>
      </c>
      <c r="G457" s="246"/>
      <c r="H457" s="246"/>
      <c r="I457" s="250">
        <v>1</v>
      </c>
      <c r="J457" s="108">
        <f>ROUND(E455*F457*I457,4)</f>
        <v>9.045</v>
      </c>
      <c r="K457" s="108"/>
      <c r="L457" s="108"/>
      <c r="S457" s="14">
        <v>1115</v>
      </c>
    </row>
    <row r="458" ht="17.25" customHeight="1" spans="1:19">
      <c r="A458" s="241"/>
      <c r="B458" s="47" t="s">
        <v>521</v>
      </c>
      <c r="C458" s="104" t="s">
        <v>522</v>
      </c>
      <c r="D458" s="47" t="s">
        <v>518</v>
      </c>
      <c r="E458" s="108"/>
      <c r="F458" s="246">
        <v>21.42</v>
      </c>
      <c r="G458" s="246"/>
      <c r="H458" s="246"/>
      <c r="I458" s="250">
        <v>1</v>
      </c>
      <c r="J458" s="108">
        <f>ROUND(E455*F458*I458,4)</f>
        <v>0.1928</v>
      </c>
      <c r="K458" s="108"/>
      <c r="L458" s="108"/>
      <c r="S458" s="14">
        <v>112</v>
      </c>
    </row>
    <row r="459" ht="17.25" customHeight="1" spans="1:12">
      <c r="A459" s="241"/>
      <c r="B459" s="47"/>
      <c r="C459" s="242" t="s">
        <v>787</v>
      </c>
      <c r="D459" s="243"/>
      <c r="E459" s="244"/>
      <c r="F459" s="245"/>
      <c r="G459" s="245"/>
      <c r="H459" s="245"/>
      <c r="I459" s="249"/>
      <c r="J459" s="244"/>
      <c r="K459" s="244"/>
      <c r="L459" s="244"/>
    </row>
    <row r="460" ht="17.25" customHeight="1" spans="1:19">
      <c r="A460" s="241"/>
      <c r="B460" s="47" t="s">
        <v>596</v>
      </c>
      <c r="C460" s="104" t="s">
        <v>597</v>
      </c>
      <c r="D460" s="47" t="s">
        <v>594</v>
      </c>
      <c r="E460" s="108"/>
      <c r="F460" s="246"/>
      <c r="G460" s="246">
        <v>18.23</v>
      </c>
      <c r="H460" s="246"/>
      <c r="I460" s="250">
        <v>1</v>
      </c>
      <c r="J460" s="108"/>
      <c r="K460" s="108">
        <f>ROUND(E455*G460*I460,4)</f>
        <v>0.1641</v>
      </c>
      <c r="L460" s="108"/>
      <c r="S460" s="14">
        <v>211</v>
      </c>
    </row>
    <row r="461" ht="17.25" customHeight="1" spans="1:12">
      <c r="A461" s="241"/>
      <c r="B461" s="47"/>
      <c r="C461" s="242" t="s">
        <v>788</v>
      </c>
      <c r="D461" s="243"/>
      <c r="E461" s="244"/>
      <c r="F461" s="245"/>
      <c r="G461" s="245"/>
      <c r="H461" s="245"/>
      <c r="I461" s="249"/>
      <c r="J461" s="244"/>
      <c r="K461" s="244"/>
      <c r="L461" s="244"/>
    </row>
    <row r="462" ht="17.25" customHeight="1" spans="1:19">
      <c r="A462" s="241"/>
      <c r="B462" s="47" t="s">
        <v>621</v>
      </c>
      <c r="C462" s="104" t="s">
        <v>622</v>
      </c>
      <c r="D462" s="47" t="s">
        <v>612</v>
      </c>
      <c r="E462" s="108"/>
      <c r="F462" s="246"/>
      <c r="G462" s="246"/>
      <c r="H462" s="246">
        <v>0.4</v>
      </c>
      <c r="I462" s="250">
        <v>1</v>
      </c>
      <c r="J462" s="108"/>
      <c r="K462" s="108"/>
      <c r="L462" s="108">
        <f>ROUND(E455*H462*I462,4)</f>
        <v>0.0036</v>
      </c>
      <c r="S462" s="14">
        <v>312</v>
      </c>
    </row>
    <row r="463" ht="17.25" customHeight="1" spans="1:19">
      <c r="A463" s="241"/>
      <c r="B463" s="47" t="s">
        <v>656</v>
      </c>
      <c r="C463" s="104" t="s">
        <v>657</v>
      </c>
      <c r="D463" s="47" t="s">
        <v>612</v>
      </c>
      <c r="E463" s="108"/>
      <c r="F463" s="246"/>
      <c r="G463" s="246"/>
      <c r="H463" s="246">
        <v>0.03</v>
      </c>
      <c r="I463" s="250">
        <v>1</v>
      </c>
      <c r="J463" s="108"/>
      <c r="K463" s="108"/>
      <c r="L463" s="108">
        <f>ROUND(E455*H463*I463,4)</f>
        <v>0.0003</v>
      </c>
      <c r="S463" s="14">
        <v>319</v>
      </c>
    </row>
    <row r="464" ht="17.25" customHeight="1" spans="1:19">
      <c r="A464" s="241"/>
      <c r="B464" s="47" t="s">
        <v>614</v>
      </c>
      <c r="C464" s="104" t="s">
        <v>615</v>
      </c>
      <c r="D464" s="47" t="s">
        <v>612</v>
      </c>
      <c r="E464" s="108"/>
      <c r="F464" s="246"/>
      <c r="G464" s="246"/>
      <c r="H464" s="246">
        <v>0.03</v>
      </c>
      <c r="I464" s="250">
        <v>1</v>
      </c>
      <c r="J464" s="108"/>
      <c r="K464" s="108"/>
      <c r="L464" s="108">
        <f>ROUND(E455*H464*I464,4)</f>
        <v>0.0003</v>
      </c>
      <c r="S464" s="14">
        <v>311</v>
      </c>
    </row>
    <row r="465" ht="17.25" customHeight="1" spans="1:16">
      <c r="A465" s="241"/>
      <c r="B465" s="47" t="s">
        <v>790</v>
      </c>
      <c r="C465" s="104" t="s">
        <v>791</v>
      </c>
      <c r="D465" s="47" t="s">
        <v>792</v>
      </c>
      <c r="E465" s="108"/>
      <c r="F465" s="246"/>
      <c r="G465" s="246"/>
      <c r="H465" s="246">
        <v>2</v>
      </c>
      <c r="I465" s="250"/>
      <c r="J465" s="108"/>
      <c r="K465" s="108"/>
      <c r="L465" s="108"/>
      <c r="N465" s="14">
        <v>31</v>
      </c>
      <c r="P465" s="14">
        <v>37</v>
      </c>
    </row>
    <row r="466" ht="55.5" customHeight="1" spans="1:12">
      <c r="A466" s="241">
        <v>21</v>
      </c>
      <c r="B466" s="47" t="s">
        <v>412</v>
      </c>
      <c r="C466" s="104" t="s">
        <v>414</v>
      </c>
      <c r="D466" s="47" t="s">
        <v>55</v>
      </c>
      <c r="E466" s="108">
        <v>0.1407</v>
      </c>
      <c r="F466" s="246"/>
      <c r="G466" s="246"/>
      <c r="H466" s="246"/>
      <c r="I466" s="250"/>
      <c r="J466" s="108"/>
      <c r="K466" s="108"/>
      <c r="L466" s="108"/>
    </row>
    <row r="467" ht="17.25" customHeight="1" spans="1:12">
      <c r="A467" s="241"/>
      <c r="B467" s="47"/>
      <c r="C467" s="242" t="s">
        <v>789</v>
      </c>
      <c r="D467" s="243"/>
      <c r="E467" s="244"/>
      <c r="F467" s="245"/>
      <c r="G467" s="245"/>
      <c r="H467" s="245"/>
      <c r="I467" s="249"/>
      <c r="J467" s="244"/>
      <c r="K467" s="244"/>
      <c r="L467" s="244"/>
    </row>
    <row r="468" ht="17.25" customHeight="1" spans="1:19">
      <c r="A468" s="241"/>
      <c r="B468" s="47" t="s">
        <v>587</v>
      </c>
      <c r="C468" s="104" t="s">
        <v>588</v>
      </c>
      <c r="D468" s="47" t="s">
        <v>518</v>
      </c>
      <c r="E468" s="108"/>
      <c r="F468" s="246">
        <v>350.55</v>
      </c>
      <c r="G468" s="246"/>
      <c r="H468" s="246"/>
      <c r="I468" s="250">
        <v>1</v>
      </c>
      <c r="J468" s="108">
        <f>ROUND(E466*F468*I468,4)</f>
        <v>49.3224</v>
      </c>
      <c r="K468" s="108"/>
      <c r="L468" s="108"/>
      <c r="Q468" s="14">
        <v>0</v>
      </c>
      <c r="R468" s="14">
        <v>0</v>
      </c>
      <c r="S468" s="14">
        <v>1121</v>
      </c>
    </row>
    <row r="469" ht="17.25" customHeight="1" spans="1:19">
      <c r="A469" s="241"/>
      <c r="B469" s="47" t="s">
        <v>513</v>
      </c>
      <c r="C469" s="104" t="s">
        <v>514</v>
      </c>
      <c r="D469" s="47" t="s">
        <v>55</v>
      </c>
      <c r="E469" s="108"/>
      <c r="F469" s="246">
        <v>0.480725</v>
      </c>
      <c r="G469" s="246"/>
      <c r="H469" s="246"/>
      <c r="I469" s="250">
        <v>1</v>
      </c>
      <c r="J469" s="108">
        <f>ROUND(E466*F469*I469,4)</f>
        <v>0.0676</v>
      </c>
      <c r="K469" s="108"/>
      <c r="L469" s="108"/>
      <c r="Q469" s="14">
        <v>0</v>
      </c>
      <c r="R469" s="14">
        <v>0</v>
      </c>
      <c r="S469" s="14">
        <v>110</v>
      </c>
    </row>
    <row r="470" ht="17.25" customHeight="1" spans="1:19">
      <c r="A470" s="241"/>
      <c r="B470" s="47" t="s">
        <v>527</v>
      </c>
      <c r="C470" s="104" t="s">
        <v>528</v>
      </c>
      <c r="D470" s="47" t="s">
        <v>55</v>
      </c>
      <c r="E470" s="108"/>
      <c r="F470" s="246">
        <v>0.89995</v>
      </c>
      <c r="G470" s="246"/>
      <c r="H470" s="246"/>
      <c r="I470" s="250">
        <v>1</v>
      </c>
      <c r="J470" s="108">
        <f>ROUND(E466*F470*I470,4)</f>
        <v>0.1266</v>
      </c>
      <c r="K470" s="108"/>
      <c r="L470" s="108"/>
      <c r="Q470" s="14">
        <v>0</v>
      </c>
      <c r="R470" s="14">
        <v>0</v>
      </c>
      <c r="S470" s="14">
        <v>113</v>
      </c>
    </row>
    <row r="471" ht="17.25" customHeight="1" spans="1:19">
      <c r="A471" s="241"/>
      <c r="B471" s="47" t="s">
        <v>565</v>
      </c>
      <c r="C471" s="104" t="s">
        <v>566</v>
      </c>
      <c r="D471" s="47" t="s">
        <v>567</v>
      </c>
      <c r="E471" s="108"/>
      <c r="F471" s="246">
        <v>189.625</v>
      </c>
      <c r="G471" s="246"/>
      <c r="H471" s="246"/>
      <c r="I471" s="250">
        <v>1</v>
      </c>
      <c r="J471" s="108">
        <f>ROUND(E466*F471*I471,4)</f>
        <v>26.6802</v>
      </c>
      <c r="K471" s="108"/>
      <c r="L471" s="108"/>
      <c r="Q471" s="14">
        <v>0</v>
      </c>
      <c r="R471" s="14">
        <v>0</v>
      </c>
      <c r="S471" s="14">
        <v>1113</v>
      </c>
    </row>
    <row r="472" ht="17.25" customHeight="1" spans="1:15">
      <c r="A472" s="241"/>
      <c r="B472" s="47" t="s">
        <v>793</v>
      </c>
      <c r="C472" s="104" t="s">
        <v>794</v>
      </c>
      <c r="D472" s="47" t="s">
        <v>792</v>
      </c>
      <c r="E472" s="108"/>
      <c r="F472" s="246">
        <v>1</v>
      </c>
      <c r="G472" s="246"/>
      <c r="H472" s="246"/>
      <c r="I472" s="250"/>
      <c r="J472" s="108"/>
      <c r="K472" s="108"/>
      <c r="L472" s="108"/>
      <c r="M472" s="14">
        <v>915</v>
      </c>
      <c r="O472" s="14">
        <v>1069</v>
      </c>
    </row>
    <row r="473" ht="17.25" customHeight="1" spans="1:12">
      <c r="A473" s="241"/>
      <c r="B473" s="47"/>
      <c r="C473" s="242" t="s">
        <v>787</v>
      </c>
      <c r="D473" s="243"/>
      <c r="E473" s="244"/>
      <c r="F473" s="245"/>
      <c r="G473" s="245"/>
      <c r="H473" s="245"/>
      <c r="I473" s="249"/>
      <c r="J473" s="244"/>
      <c r="K473" s="244"/>
      <c r="L473" s="244"/>
    </row>
    <row r="474" ht="17.25" customHeight="1" spans="1:19">
      <c r="A474" s="241"/>
      <c r="B474" s="47" t="s">
        <v>596</v>
      </c>
      <c r="C474" s="104" t="s">
        <v>597</v>
      </c>
      <c r="D474" s="47" t="s">
        <v>594</v>
      </c>
      <c r="E474" s="108"/>
      <c r="F474" s="246"/>
      <c r="G474" s="246">
        <v>3.56</v>
      </c>
      <c r="H474" s="246"/>
      <c r="I474" s="250">
        <v>1</v>
      </c>
      <c r="J474" s="108"/>
      <c r="K474" s="108">
        <f>ROUND(E466*G474*I474,4)</f>
        <v>0.5009</v>
      </c>
      <c r="L474" s="108"/>
      <c r="S474" s="14">
        <v>211</v>
      </c>
    </row>
    <row r="475" ht="17.25" customHeight="1" spans="1:12">
      <c r="A475" s="241"/>
      <c r="B475" s="47"/>
      <c r="C475" s="242" t="s">
        <v>788</v>
      </c>
      <c r="D475" s="243"/>
      <c r="E475" s="244"/>
      <c r="F475" s="245"/>
      <c r="G475" s="245"/>
      <c r="H475" s="245"/>
      <c r="I475" s="249"/>
      <c r="J475" s="244"/>
      <c r="K475" s="244"/>
      <c r="L475" s="244"/>
    </row>
    <row r="476" ht="17.25" customHeight="1" spans="1:19">
      <c r="A476" s="241"/>
      <c r="B476" s="47" t="s">
        <v>642</v>
      </c>
      <c r="C476" s="104" t="s">
        <v>643</v>
      </c>
      <c r="D476" s="47" t="s">
        <v>612</v>
      </c>
      <c r="E476" s="108"/>
      <c r="F476" s="246"/>
      <c r="G476" s="246"/>
      <c r="H476" s="246">
        <v>0.095</v>
      </c>
      <c r="I476" s="250">
        <v>1</v>
      </c>
      <c r="J476" s="108"/>
      <c r="K476" s="108"/>
      <c r="L476" s="108">
        <f>ROUND(E466*H476*I476,4)</f>
        <v>0.0134</v>
      </c>
      <c r="S476" s="14">
        <v>315</v>
      </c>
    </row>
    <row r="477" ht="17.25" customHeight="1" spans="1:19">
      <c r="A477" s="241"/>
      <c r="B477" s="47" t="s">
        <v>633</v>
      </c>
      <c r="C477" s="104" t="s">
        <v>634</v>
      </c>
      <c r="D477" s="47" t="s">
        <v>612</v>
      </c>
      <c r="E477" s="108"/>
      <c r="F477" s="246"/>
      <c r="G477" s="246"/>
      <c r="H477" s="246">
        <v>0.18</v>
      </c>
      <c r="I477" s="250">
        <v>1</v>
      </c>
      <c r="J477" s="108"/>
      <c r="K477" s="108"/>
      <c r="L477" s="108">
        <f>ROUND(E466*H477*I477,4)</f>
        <v>0.0253</v>
      </c>
      <c r="S477" s="14">
        <v>313</v>
      </c>
    </row>
    <row r="478" ht="17.25" customHeight="1" spans="1:19">
      <c r="A478" s="241"/>
      <c r="B478" s="47" t="s">
        <v>645</v>
      </c>
      <c r="C478" s="104" t="s">
        <v>646</v>
      </c>
      <c r="D478" s="47" t="s">
        <v>612</v>
      </c>
      <c r="E478" s="108"/>
      <c r="F478" s="246"/>
      <c r="G478" s="246"/>
      <c r="H478" s="246">
        <v>0.11</v>
      </c>
      <c r="I478" s="250">
        <v>1</v>
      </c>
      <c r="J478" s="108"/>
      <c r="K478" s="108"/>
      <c r="L478" s="108">
        <f>ROUND(E466*H478*I478,4)</f>
        <v>0.0155</v>
      </c>
      <c r="S478" s="14">
        <v>316</v>
      </c>
    </row>
    <row r="479" ht="42.75" customHeight="1" spans="1:12">
      <c r="A479" s="241">
        <v>22</v>
      </c>
      <c r="B479" s="47" t="s">
        <v>418</v>
      </c>
      <c r="C479" s="104" t="s">
        <v>419</v>
      </c>
      <c r="D479" s="47" t="s">
        <v>107</v>
      </c>
      <c r="E479" s="108">
        <v>0.1179</v>
      </c>
      <c r="F479" s="246"/>
      <c r="G479" s="246"/>
      <c r="H479" s="246"/>
      <c r="I479" s="250"/>
      <c r="J479" s="108"/>
      <c r="K479" s="108"/>
      <c r="L479" s="108"/>
    </row>
    <row r="480" ht="17.25" customHeight="1" spans="1:12">
      <c r="A480" s="241"/>
      <c r="B480" s="47"/>
      <c r="C480" s="242" t="s">
        <v>789</v>
      </c>
      <c r="D480" s="243"/>
      <c r="E480" s="244"/>
      <c r="F480" s="245"/>
      <c r="G480" s="245"/>
      <c r="H480" s="245"/>
      <c r="I480" s="249"/>
      <c r="J480" s="244"/>
      <c r="K480" s="244"/>
      <c r="L480" s="244"/>
    </row>
    <row r="481" ht="17.25" customHeight="1" spans="1:19">
      <c r="A481" s="241"/>
      <c r="B481" s="47" t="s">
        <v>557</v>
      </c>
      <c r="C481" s="104" t="s">
        <v>558</v>
      </c>
      <c r="D481" s="47" t="s">
        <v>55</v>
      </c>
      <c r="E481" s="108"/>
      <c r="F481" s="246">
        <v>0.123</v>
      </c>
      <c r="G481" s="246"/>
      <c r="H481" s="246"/>
      <c r="I481" s="250">
        <v>1</v>
      </c>
      <c r="J481" s="108">
        <f>ROUND(E479*F481*I481,4)</f>
        <v>0.0145</v>
      </c>
      <c r="K481" s="108"/>
      <c r="L481" s="108"/>
      <c r="Q481" s="14">
        <v>0</v>
      </c>
      <c r="R481" s="14">
        <v>0</v>
      </c>
      <c r="S481" s="14">
        <v>1110</v>
      </c>
    </row>
    <row r="482" ht="17.25" customHeight="1" spans="1:19">
      <c r="A482" s="241"/>
      <c r="B482" s="47" t="s">
        <v>536</v>
      </c>
      <c r="C482" s="104" t="s">
        <v>537</v>
      </c>
      <c r="D482" s="47" t="s">
        <v>518</v>
      </c>
      <c r="E482" s="108"/>
      <c r="F482" s="246">
        <v>0.16</v>
      </c>
      <c r="G482" s="246"/>
      <c r="H482" s="246"/>
      <c r="I482" s="250">
        <v>1</v>
      </c>
      <c r="J482" s="108">
        <f>ROUND(E479*F482*I482,4)</f>
        <v>0.0189</v>
      </c>
      <c r="K482" s="108"/>
      <c r="L482" s="108"/>
      <c r="Q482" s="14">
        <v>0</v>
      </c>
      <c r="R482" s="14">
        <v>0</v>
      </c>
      <c r="S482" s="14">
        <v>114</v>
      </c>
    </row>
    <row r="483" ht="17.25" customHeight="1" spans="1:15">
      <c r="A483" s="241"/>
      <c r="B483" s="47" t="s">
        <v>793</v>
      </c>
      <c r="C483" s="104" t="s">
        <v>794</v>
      </c>
      <c r="D483" s="47" t="s">
        <v>792</v>
      </c>
      <c r="E483" s="108"/>
      <c r="F483" s="246">
        <v>1</v>
      </c>
      <c r="G483" s="246"/>
      <c r="H483" s="246"/>
      <c r="I483" s="250"/>
      <c r="J483" s="108"/>
      <c r="K483" s="108"/>
      <c r="L483" s="108"/>
      <c r="M483" s="14">
        <v>294</v>
      </c>
      <c r="O483" s="14">
        <v>294</v>
      </c>
    </row>
    <row r="484" ht="17.25" customHeight="1" spans="1:12">
      <c r="A484" s="241"/>
      <c r="B484" s="47"/>
      <c r="C484" s="242" t="s">
        <v>787</v>
      </c>
      <c r="D484" s="243"/>
      <c r="E484" s="244"/>
      <c r="F484" s="245"/>
      <c r="G484" s="245"/>
      <c r="H484" s="245"/>
      <c r="I484" s="249"/>
      <c r="J484" s="244"/>
      <c r="K484" s="244"/>
      <c r="L484" s="244"/>
    </row>
    <row r="485" ht="17.25" customHeight="1" spans="1:19">
      <c r="A485" s="241"/>
      <c r="B485" s="47" t="s">
        <v>592</v>
      </c>
      <c r="C485" s="104" t="s">
        <v>593</v>
      </c>
      <c r="D485" s="47" t="s">
        <v>594</v>
      </c>
      <c r="E485" s="108"/>
      <c r="F485" s="246"/>
      <c r="G485" s="246">
        <v>25.62</v>
      </c>
      <c r="H485" s="246"/>
      <c r="I485" s="250">
        <v>1</v>
      </c>
      <c r="J485" s="108"/>
      <c r="K485" s="108">
        <f>ROUND(E479*G485*I485,4)</f>
        <v>3.0206</v>
      </c>
      <c r="L485" s="108"/>
      <c r="S485" s="14">
        <v>210</v>
      </c>
    </row>
    <row r="486" ht="30" customHeight="1" spans="1:12">
      <c r="A486" s="241">
        <v>23</v>
      </c>
      <c r="B486" s="47" t="s">
        <v>431</v>
      </c>
      <c r="C486" s="104" t="s">
        <v>432</v>
      </c>
      <c r="D486" s="47" t="s">
        <v>114</v>
      </c>
      <c r="E486" s="108">
        <v>0.0929</v>
      </c>
      <c r="F486" s="246"/>
      <c r="G486" s="246"/>
      <c r="H486" s="246"/>
      <c r="I486" s="250"/>
      <c r="J486" s="108"/>
      <c r="K486" s="108"/>
      <c r="L486" s="108"/>
    </row>
    <row r="487" ht="17.25" customHeight="1" spans="1:12">
      <c r="A487" s="241"/>
      <c r="B487" s="47"/>
      <c r="C487" s="242" t="s">
        <v>789</v>
      </c>
      <c r="D487" s="243"/>
      <c r="E487" s="244"/>
      <c r="F487" s="245"/>
      <c r="G487" s="245"/>
      <c r="H487" s="245"/>
      <c r="I487" s="249"/>
      <c r="J487" s="244"/>
      <c r="K487" s="244"/>
      <c r="L487" s="244"/>
    </row>
    <row r="488" ht="17.25" customHeight="1" spans="1:19">
      <c r="A488" s="241"/>
      <c r="B488" s="47" t="s">
        <v>572</v>
      </c>
      <c r="C488" s="104" t="s">
        <v>573</v>
      </c>
      <c r="D488" s="47" t="s">
        <v>518</v>
      </c>
      <c r="E488" s="108"/>
      <c r="F488" s="246">
        <v>1005</v>
      </c>
      <c r="G488" s="246"/>
      <c r="H488" s="246"/>
      <c r="I488" s="250">
        <v>1</v>
      </c>
      <c r="J488" s="108">
        <f>ROUND(E486*F488*I488,4)</f>
        <v>93.3645</v>
      </c>
      <c r="K488" s="108"/>
      <c r="L488" s="108"/>
      <c r="S488" s="14">
        <v>1115</v>
      </c>
    </row>
    <row r="489" ht="17.25" customHeight="1" spans="1:19">
      <c r="A489" s="241"/>
      <c r="B489" s="47" t="s">
        <v>521</v>
      </c>
      <c r="C489" s="104" t="s">
        <v>522</v>
      </c>
      <c r="D489" s="47" t="s">
        <v>518</v>
      </c>
      <c r="E489" s="108"/>
      <c r="F489" s="246">
        <v>21.42</v>
      </c>
      <c r="G489" s="246"/>
      <c r="H489" s="246"/>
      <c r="I489" s="250">
        <v>1</v>
      </c>
      <c r="J489" s="108">
        <f>ROUND(E486*F489*I489,4)</f>
        <v>1.9899</v>
      </c>
      <c r="K489" s="108"/>
      <c r="L489" s="108"/>
      <c r="S489" s="14">
        <v>112</v>
      </c>
    </row>
    <row r="490" ht="17.25" customHeight="1" spans="1:12">
      <c r="A490" s="241"/>
      <c r="B490" s="47"/>
      <c r="C490" s="242" t="s">
        <v>787</v>
      </c>
      <c r="D490" s="243"/>
      <c r="E490" s="244"/>
      <c r="F490" s="245"/>
      <c r="G490" s="245"/>
      <c r="H490" s="245"/>
      <c r="I490" s="249"/>
      <c r="J490" s="244"/>
      <c r="K490" s="244"/>
      <c r="L490" s="244"/>
    </row>
    <row r="491" ht="17.25" customHeight="1" spans="1:19">
      <c r="A491" s="241"/>
      <c r="B491" s="47" t="s">
        <v>596</v>
      </c>
      <c r="C491" s="104" t="s">
        <v>597</v>
      </c>
      <c r="D491" s="47" t="s">
        <v>594</v>
      </c>
      <c r="E491" s="108"/>
      <c r="F491" s="246"/>
      <c r="G491" s="246">
        <v>21.37</v>
      </c>
      <c r="H491" s="246"/>
      <c r="I491" s="250">
        <v>1</v>
      </c>
      <c r="J491" s="108"/>
      <c r="K491" s="108">
        <f>ROUND(E486*G491*I491,4)</f>
        <v>1.9853</v>
      </c>
      <c r="L491" s="108"/>
      <c r="S491" s="14">
        <v>211</v>
      </c>
    </row>
    <row r="492" ht="17.25" customHeight="1" spans="1:12">
      <c r="A492" s="241"/>
      <c r="B492" s="47"/>
      <c r="C492" s="242" t="s">
        <v>788</v>
      </c>
      <c r="D492" s="243"/>
      <c r="E492" s="244"/>
      <c r="F492" s="245"/>
      <c r="G492" s="245"/>
      <c r="H492" s="245"/>
      <c r="I492" s="249"/>
      <c r="J492" s="244"/>
      <c r="K492" s="244"/>
      <c r="L492" s="244"/>
    </row>
    <row r="493" ht="17.25" customHeight="1" spans="1:19">
      <c r="A493" s="241"/>
      <c r="B493" s="47" t="s">
        <v>621</v>
      </c>
      <c r="C493" s="104" t="s">
        <v>622</v>
      </c>
      <c r="D493" s="47" t="s">
        <v>612</v>
      </c>
      <c r="E493" s="108"/>
      <c r="F493" s="246"/>
      <c r="G493" s="246"/>
      <c r="H493" s="246">
        <v>0.48</v>
      </c>
      <c r="I493" s="250">
        <v>1</v>
      </c>
      <c r="J493" s="108"/>
      <c r="K493" s="108"/>
      <c r="L493" s="108">
        <f>ROUND(E486*H493*I493,4)</f>
        <v>0.0446</v>
      </c>
      <c r="S493" s="14">
        <v>312</v>
      </c>
    </row>
    <row r="494" ht="42.75" customHeight="1" spans="1:12">
      <c r="A494" s="241">
        <v>24</v>
      </c>
      <c r="B494" s="47" t="s">
        <v>442</v>
      </c>
      <c r="C494" s="104" t="s">
        <v>443</v>
      </c>
      <c r="D494" s="47" t="s">
        <v>55</v>
      </c>
      <c r="E494" s="108">
        <v>0.6539</v>
      </c>
      <c r="F494" s="246"/>
      <c r="G494" s="246"/>
      <c r="H494" s="246"/>
      <c r="I494" s="250"/>
      <c r="J494" s="108"/>
      <c r="K494" s="108"/>
      <c r="L494" s="108"/>
    </row>
    <row r="495" ht="17.25" customHeight="1" spans="1:12">
      <c r="A495" s="241"/>
      <c r="B495" s="47"/>
      <c r="C495" s="242" t="s">
        <v>789</v>
      </c>
      <c r="D495" s="243"/>
      <c r="E495" s="244"/>
      <c r="F495" s="245"/>
      <c r="G495" s="245"/>
      <c r="H495" s="245"/>
      <c r="I495" s="249"/>
      <c r="J495" s="244"/>
      <c r="K495" s="244"/>
      <c r="L495" s="244"/>
    </row>
    <row r="496" ht="17.25" customHeight="1" spans="1:19">
      <c r="A496" s="241"/>
      <c r="B496" s="47" t="s">
        <v>587</v>
      </c>
      <c r="C496" s="104" t="s">
        <v>588</v>
      </c>
      <c r="D496" s="47" t="s">
        <v>518</v>
      </c>
      <c r="E496" s="108"/>
      <c r="F496" s="246">
        <v>347.13</v>
      </c>
      <c r="G496" s="246"/>
      <c r="H496" s="246"/>
      <c r="I496" s="250">
        <v>1</v>
      </c>
      <c r="J496" s="108">
        <f>ROUND(E494*F496*I496,4)</f>
        <v>226.9883</v>
      </c>
      <c r="K496" s="108"/>
      <c r="L496" s="108"/>
      <c r="Q496" s="14">
        <v>0</v>
      </c>
      <c r="R496" s="14">
        <v>0</v>
      </c>
      <c r="S496" s="14">
        <v>1121</v>
      </c>
    </row>
    <row r="497" ht="17.25" customHeight="1" spans="1:19">
      <c r="A497" s="241"/>
      <c r="B497" s="47" t="s">
        <v>513</v>
      </c>
      <c r="C497" s="104" t="s">
        <v>514</v>
      </c>
      <c r="D497" s="47" t="s">
        <v>55</v>
      </c>
      <c r="E497" s="108"/>
      <c r="F497" s="246">
        <v>0.476035</v>
      </c>
      <c r="G497" s="246"/>
      <c r="H497" s="246"/>
      <c r="I497" s="250">
        <v>1</v>
      </c>
      <c r="J497" s="108">
        <f>ROUND(E494*F497*I497,4)</f>
        <v>0.3113</v>
      </c>
      <c r="K497" s="108"/>
      <c r="L497" s="108"/>
      <c r="Q497" s="14">
        <v>0</v>
      </c>
      <c r="R497" s="14">
        <v>0</v>
      </c>
      <c r="S497" s="14">
        <v>110</v>
      </c>
    </row>
    <row r="498" ht="17.25" customHeight="1" spans="1:19">
      <c r="A498" s="241"/>
      <c r="B498" s="47" t="s">
        <v>527</v>
      </c>
      <c r="C498" s="104" t="s">
        <v>528</v>
      </c>
      <c r="D498" s="47" t="s">
        <v>55</v>
      </c>
      <c r="E498" s="108"/>
      <c r="F498" s="246">
        <v>0.89117</v>
      </c>
      <c r="G498" s="246"/>
      <c r="H498" s="246"/>
      <c r="I498" s="250">
        <v>1</v>
      </c>
      <c r="J498" s="108">
        <f>ROUND(E494*F498*I498,4)</f>
        <v>0.5827</v>
      </c>
      <c r="K498" s="108"/>
      <c r="L498" s="108"/>
      <c r="Q498" s="14">
        <v>0</v>
      </c>
      <c r="R498" s="14">
        <v>0</v>
      </c>
      <c r="S498" s="14">
        <v>113</v>
      </c>
    </row>
    <row r="499" ht="17.25" customHeight="1" spans="1:19">
      <c r="A499" s="241"/>
      <c r="B499" s="47" t="s">
        <v>565</v>
      </c>
      <c r="C499" s="104" t="s">
        <v>566</v>
      </c>
      <c r="D499" s="47" t="s">
        <v>567</v>
      </c>
      <c r="E499" s="108"/>
      <c r="F499" s="246">
        <v>187.775</v>
      </c>
      <c r="G499" s="246"/>
      <c r="H499" s="246"/>
      <c r="I499" s="250">
        <v>1</v>
      </c>
      <c r="J499" s="108">
        <f>ROUND(E494*F499*I499,4)</f>
        <v>122.7861</v>
      </c>
      <c r="K499" s="108"/>
      <c r="L499" s="108"/>
      <c r="Q499" s="14">
        <v>0</v>
      </c>
      <c r="R499" s="14">
        <v>0</v>
      </c>
      <c r="S499" s="14">
        <v>1113</v>
      </c>
    </row>
    <row r="500" ht="17.25" customHeight="1" spans="1:15">
      <c r="A500" s="241"/>
      <c r="B500" s="47" t="s">
        <v>793</v>
      </c>
      <c r="C500" s="104" t="s">
        <v>794</v>
      </c>
      <c r="D500" s="47" t="s">
        <v>792</v>
      </c>
      <c r="E500" s="108"/>
      <c r="F500" s="246">
        <v>0.5</v>
      </c>
      <c r="G500" s="246"/>
      <c r="H500" s="246"/>
      <c r="I500" s="250"/>
      <c r="J500" s="108"/>
      <c r="K500" s="108"/>
      <c r="L500" s="108"/>
      <c r="M500" s="14">
        <v>2106</v>
      </c>
      <c r="O500" s="14">
        <v>2459</v>
      </c>
    </row>
    <row r="501" ht="17.25" customHeight="1" spans="1:12">
      <c r="A501" s="241"/>
      <c r="B501" s="47"/>
      <c r="C501" s="242" t="s">
        <v>787</v>
      </c>
      <c r="D501" s="243"/>
      <c r="E501" s="244"/>
      <c r="F501" s="245"/>
      <c r="G501" s="245"/>
      <c r="H501" s="245"/>
      <c r="I501" s="249"/>
      <c r="J501" s="244"/>
      <c r="K501" s="244"/>
      <c r="L501" s="244"/>
    </row>
    <row r="502" ht="17.25" customHeight="1" spans="1:19">
      <c r="A502" s="241"/>
      <c r="B502" s="47" t="s">
        <v>592</v>
      </c>
      <c r="C502" s="104" t="s">
        <v>593</v>
      </c>
      <c r="D502" s="47" t="s">
        <v>594</v>
      </c>
      <c r="E502" s="108"/>
      <c r="F502" s="246"/>
      <c r="G502" s="246">
        <v>2.57</v>
      </c>
      <c r="H502" s="246"/>
      <c r="I502" s="250">
        <v>1</v>
      </c>
      <c r="J502" s="108"/>
      <c r="K502" s="108">
        <f>ROUND(E494*G502*I502,4)</f>
        <v>1.6805</v>
      </c>
      <c r="L502" s="108"/>
      <c r="S502" s="14">
        <v>210</v>
      </c>
    </row>
    <row r="503" ht="17.25" customHeight="1" spans="1:12">
      <c r="A503" s="241"/>
      <c r="B503" s="47"/>
      <c r="C503" s="242" t="s">
        <v>788</v>
      </c>
      <c r="D503" s="243"/>
      <c r="E503" s="244"/>
      <c r="F503" s="245"/>
      <c r="G503" s="245"/>
      <c r="H503" s="245"/>
      <c r="I503" s="249"/>
      <c r="J503" s="244"/>
      <c r="K503" s="244"/>
      <c r="L503" s="244"/>
    </row>
    <row r="504" ht="17.25" customHeight="1" spans="1:19">
      <c r="A504" s="241"/>
      <c r="B504" s="47" t="s">
        <v>642</v>
      </c>
      <c r="C504" s="104" t="s">
        <v>643</v>
      </c>
      <c r="D504" s="47" t="s">
        <v>612</v>
      </c>
      <c r="E504" s="108"/>
      <c r="F504" s="246"/>
      <c r="G504" s="246"/>
      <c r="H504" s="246">
        <v>0.095</v>
      </c>
      <c r="I504" s="250">
        <v>1</v>
      </c>
      <c r="J504" s="108"/>
      <c r="K504" s="108"/>
      <c r="L504" s="108">
        <f>ROUND(E494*H504*I504,4)</f>
        <v>0.0621</v>
      </c>
      <c r="S504" s="14">
        <v>315</v>
      </c>
    </row>
    <row r="505" ht="55.5" customHeight="1" spans="1:12">
      <c r="A505" s="241">
        <v>25</v>
      </c>
      <c r="B505" s="47" t="s">
        <v>447</v>
      </c>
      <c r="C505" s="104" t="s">
        <v>449</v>
      </c>
      <c r="D505" s="47" t="s">
        <v>450</v>
      </c>
      <c r="E505" s="108">
        <v>13</v>
      </c>
      <c r="F505" s="246"/>
      <c r="G505" s="246"/>
      <c r="H505" s="246"/>
      <c r="I505" s="250"/>
      <c r="J505" s="108"/>
      <c r="K505" s="108"/>
      <c r="L505" s="108"/>
    </row>
    <row r="506" ht="17.25" customHeight="1" spans="1:12">
      <c r="A506" s="241"/>
      <c r="B506" s="47"/>
      <c r="C506" s="242" t="s">
        <v>789</v>
      </c>
      <c r="D506" s="243"/>
      <c r="E506" s="244"/>
      <c r="F506" s="245"/>
      <c r="G506" s="245"/>
      <c r="H506" s="245"/>
      <c r="I506" s="249"/>
      <c r="J506" s="244"/>
      <c r="K506" s="244"/>
      <c r="L506" s="244"/>
    </row>
    <row r="507" ht="17.25" customHeight="1" spans="1:19">
      <c r="A507" s="241"/>
      <c r="B507" s="47" t="s">
        <v>587</v>
      </c>
      <c r="C507" s="104" t="s">
        <v>588</v>
      </c>
      <c r="D507" s="47" t="s">
        <v>518</v>
      </c>
      <c r="E507" s="108"/>
      <c r="F507" s="246">
        <v>1.9252</v>
      </c>
      <c r="G507" s="246"/>
      <c r="H507" s="246"/>
      <c r="I507" s="250">
        <v>1</v>
      </c>
      <c r="J507" s="108">
        <f>ROUND(E505*F507*I507,4)</f>
        <v>25.0276</v>
      </c>
      <c r="K507" s="108"/>
      <c r="L507" s="108"/>
      <c r="Q507" s="14">
        <v>0</v>
      </c>
      <c r="R507" s="14">
        <v>0</v>
      </c>
      <c r="S507" s="14">
        <v>1121</v>
      </c>
    </row>
    <row r="508" ht="17.25" customHeight="1" spans="1:19">
      <c r="A508" s="241"/>
      <c r="B508" s="47" t="s">
        <v>513</v>
      </c>
      <c r="C508" s="104" t="s">
        <v>514</v>
      </c>
      <c r="D508" s="47" t="s">
        <v>55</v>
      </c>
      <c r="E508" s="108"/>
      <c r="F508" s="246">
        <v>0.00545</v>
      </c>
      <c r="G508" s="246"/>
      <c r="H508" s="246"/>
      <c r="I508" s="250">
        <v>1</v>
      </c>
      <c r="J508" s="108">
        <f>ROUND(E505*F508*I508,4)</f>
        <v>0.0709</v>
      </c>
      <c r="K508" s="108"/>
      <c r="L508" s="108"/>
      <c r="Q508" s="14">
        <v>0</v>
      </c>
      <c r="R508" s="14">
        <v>0</v>
      </c>
      <c r="S508" s="14">
        <v>110</v>
      </c>
    </row>
    <row r="509" ht="17.25" customHeight="1" spans="1:19">
      <c r="A509" s="241"/>
      <c r="B509" s="47" t="s">
        <v>565</v>
      </c>
      <c r="C509" s="104" t="s">
        <v>566</v>
      </c>
      <c r="D509" s="47" t="s">
        <v>567</v>
      </c>
      <c r="E509" s="108"/>
      <c r="F509" s="246">
        <v>1.3</v>
      </c>
      <c r="G509" s="246"/>
      <c r="H509" s="246"/>
      <c r="I509" s="250">
        <v>1</v>
      </c>
      <c r="J509" s="108">
        <f>ROUND(E505*F509*I509,4)</f>
        <v>16.9</v>
      </c>
      <c r="K509" s="108"/>
      <c r="L509" s="108"/>
      <c r="Q509" s="14">
        <v>0</v>
      </c>
      <c r="R509" s="14">
        <v>0</v>
      </c>
      <c r="S509" s="14">
        <v>1113</v>
      </c>
    </row>
    <row r="510" ht="17.25" customHeight="1" spans="1:15">
      <c r="A510" s="241"/>
      <c r="B510" s="47" t="s">
        <v>793</v>
      </c>
      <c r="C510" s="104" t="s">
        <v>794</v>
      </c>
      <c r="D510" s="47" t="s">
        <v>792</v>
      </c>
      <c r="E510" s="108"/>
      <c r="F510" s="246">
        <v>10</v>
      </c>
      <c r="G510" s="246"/>
      <c r="H510" s="246"/>
      <c r="I510" s="250"/>
      <c r="J510" s="108"/>
      <c r="K510" s="108"/>
      <c r="L510" s="108"/>
      <c r="M510" s="14">
        <v>3962</v>
      </c>
      <c r="O510" s="14">
        <v>4699</v>
      </c>
    </row>
    <row r="511" ht="17.25" customHeight="1" spans="1:12">
      <c r="A511" s="241"/>
      <c r="B511" s="47"/>
      <c r="C511" s="242" t="s">
        <v>787</v>
      </c>
      <c r="D511" s="243"/>
      <c r="E511" s="244"/>
      <c r="F511" s="245"/>
      <c r="G511" s="245"/>
      <c r="H511" s="245"/>
      <c r="I511" s="249"/>
      <c r="J511" s="244"/>
      <c r="K511" s="244"/>
      <c r="L511" s="244"/>
    </row>
    <row r="512" ht="17.25" customHeight="1" spans="1:19">
      <c r="A512" s="241"/>
      <c r="B512" s="47" t="s">
        <v>602</v>
      </c>
      <c r="C512" s="104" t="s">
        <v>603</v>
      </c>
      <c r="D512" s="47" t="s">
        <v>594</v>
      </c>
      <c r="E512" s="108"/>
      <c r="F512" s="246"/>
      <c r="G512" s="246">
        <v>0.25</v>
      </c>
      <c r="H512" s="246"/>
      <c r="I512" s="250">
        <v>1</v>
      </c>
      <c r="J512" s="108"/>
      <c r="K512" s="108">
        <f>ROUND(E505*G512*I512,4)</f>
        <v>3.25</v>
      </c>
      <c r="L512" s="108"/>
      <c r="S512" s="14">
        <v>212</v>
      </c>
    </row>
    <row r="513" ht="55.5" customHeight="1" spans="1:12">
      <c r="A513" s="241">
        <v>26</v>
      </c>
      <c r="B513" s="47" t="s">
        <v>453</v>
      </c>
      <c r="C513" s="104" t="s">
        <v>454</v>
      </c>
      <c r="D513" s="47" t="s">
        <v>450</v>
      </c>
      <c r="E513" s="108">
        <v>5</v>
      </c>
      <c r="F513" s="246"/>
      <c r="G513" s="246"/>
      <c r="H513" s="246"/>
      <c r="I513" s="250"/>
      <c r="J513" s="108"/>
      <c r="K513" s="108"/>
      <c r="L513" s="108"/>
    </row>
    <row r="514" ht="17.25" customHeight="1" spans="1:12">
      <c r="A514" s="241"/>
      <c r="B514" s="47"/>
      <c r="C514" s="242" t="s">
        <v>789</v>
      </c>
      <c r="D514" s="243"/>
      <c r="E514" s="244"/>
      <c r="F514" s="245"/>
      <c r="G514" s="245"/>
      <c r="H514" s="245"/>
      <c r="I514" s="249"/>
      <c r="J514" s="244"/>
      <c r="K514" s="244"/>
      <c r="L514" s="244"/>
    </row>
    <row r="515" ht="17.25" customHeight="1" spans="1:19">
      <c r="A515" s="241"/>
      <c r="B515" s="47" t="s">
        <v>587</v>
      </c>
      <c r="C515" s="104" t="s">
        <v>588</v>
      </c>
      <c r="D515" s="47" t="s">
        <v>518</v>
      </c>
      <c r="E515" s="108"/>
      <c r="F515" s="246">
        <v>2.69528</v>
      </c>
      <c r="G515" s="246"/>
      <c r="H515" s="246"/>
      <c r="I515" s="250">
        <v>1</v>
      </c>
      <c r="J515" s="108">
        <f>ROUND(E513*F515*I515,4)</f>
        <v>13.4764</v>
      </c>
      <c r="K515" s="108"/>
      <c r="L515" s="108"/>
      <c r="Q515" s="14">
        <v>0</v>
      </c>
      <c r="R515" s="14">
        <v>0</v>
      </c>
      <c r="S515" s="14">
        <v>1121</v>
      </c>
    </row>
    <row r="516" ht="17.25" customHeight="1" spans="1:19">
      <c r="A516" s="241"/>
      <c r="B516" s="47" t="s">
        <v>513</v>
      </c>
      <c r="C516" s="104" t="s">
        <v>514</v>
      </c>
      <c r="D516" s="47" t="s">
        <v>55</v>
      </c>
      <c r="E516" s="108"/>
      <c r="F516" s="246">
        <v>0.00763</v>
      </c>
      <c r="G516" s="246"/>
      <c r="H516" s="246"/>
      <c r="I516" s="250">
        <v>1</v>
      </c>
      <c r="J516" s="108">
        <f>ROUND(E513*F516*I516,4)</f>
        <v>0.0382</v>
      </c>
      <c r="K516" s="108"/>
      <c r="L516" s="108"/>
      <c r="Q516" s="14">
        <v>0</v>
      </c>
      <c r="R516" s="14">
        <v>0</v>
      </c>
      <c r="S516" s="14">
        <v>110</v>
      </c>
    </row>
    <row r="517" ht="17.25" customHeight="1" spans="1:19">
      <c r="A517" s="241"/>
      <c r="B517" s="47" t="s">
        <v>565</v>
      </c>
      <c r="C517" s="104" t="s">
        <v>566</v>
      </c>
      <c r="D517" s="47" t="s">
        <v>567</v>
      </c>
      <c r="E517" s="108"/>
      <c r="F517" s="246">
        <v>1.82</v>
      </c>
      <c r="G517" s="246"/>
      <c r="H517" s="246"/>
      <c r="I517" s="250">
        <v>1</v>
      </c>
      <c r="J517" s="108">
        <f>ROUND(E513*F517*I517,4)</f>
        <v>9.1</v>
      </c>
      <c r="K517" s="108"/>
      <c r="L517" s="108"/>
      <c r="Q517" s="14">
        <v>0</v>
      </c>
      <c r="R517" s="14">
        <v>0</v>
      </c>
      <c r="S517" s="14">
        <v>1113</v>
      </c>
    </row>
    <row r="518" ht="17.25" customHeight="1" spans="1:15">
      <c r="A518" s="241"/>
      <c r="B518" s="47" t="s">
        <v>793</v>
      </c>
      <c r="C518" s="104" t="s">
        <v>794</v>
      </c>
      <c r="D518" s="47" t="s">
        <v>792</v>
      </c>
      <c r="E518" s="108"/>
      <c r="F518" s="246">
        <v>10</v>
      </c>
      <c r="G518" s="246"/>
      <c r="H518" s="246"/>
      <c r="I518" s="250"/>
      <c r="J518" s="108"/>
      <c r="K518" s="108"/>
      <c r="L518" s="108"/>
      <c r="M518" s="14">
        <v>2133</v>
      </c>
      <c r="O518" s="14">
        <v>2530</v>
      </c>
    </row>
    <row r="519" ht="17.25" customHeight="1" spans="1:12">
      <c r="A519" s="241"/>
      <c r="B519" s="47"/>
      <c r="C519" s="242" t="s">
        <v>787</v>
      </c>
      <c r="D519" s="243"/>
      <c r="E519" s="244"/>
      <c r="F519" s="245"/>
      <c r="G519" s="245"/>
      <c r="H519" s="245"/>
      <c r="I519" s="249"/>
      <c r="J519" s="244"/>
      <c r="K519" s="244"/>
      <c r="L519" s="244"/>
    </row>
    <row r="520" ht="17.25" customHeight="1" spans="1:19">
      <c r="A520" s="241"/>
      <c r="B520" s="47" t="s">
        <v>602</v>
      </c>
      <c r="C520" s="104" t="s">
        <v>603</v>
      </c>
      <c r="D520" s="47" t="s">
        <v>594</v>
      </c>
      <c r="E520" s="108"/>
      <c r="F520" s="246"/>
      <c r="G520" s="246">
        <v>0.45</v>
      </c>
      <c r="H520" s="246"/>
      <c r="I520" s="250">
        <v>1</v>
      </c>
      <c r="J520" s="108"/>
      <c r="K520" s="108">
        <f>ROUND(E513*G520*I520,4)</f>
        <v>2.25</v>
      </c>
      <c r="L520" s="108"/>
      <c r="S520" s="14">
        <v>212</v>
      </c>
    </row>
    <row r="521" ht="55.5" customHeight="1" spans="1:12">
      <c r="A521" s="241">
        <v>27</v>
      </c>
      <c r="B521" s="47" t="s">
        <v>457</v>
      </c>
      <c r="C521" s="104" t="s">
        <v>458</v>
      </c>
      <c r="D521" s="47" t="s">
        <v>450</v>
      </c>
      <c r="E521" s="108">
        <v>1</v>
      </c>
      <c r="F521" s="246"/>
      <c r="G521" s="246"/>
      <c r="H521" s="246"/>
      <c r="I521" s="250"/>
      <c r="J521" s="108"/>
      <c r="K521" s="108"/>
      <c r="L521" s="108"/>
    </row>
    <row r="522" ht="17.25" customHeight="1" spans="1:12">
      <c r="A522" s="241"/>
      <c r="B522" s="47"/>
      <c r="C522" s="242" t="s">
        <v>789</v>
      </c>
      <c r="D522" s="243"/>
      <c r="E522" s="244"/>
      <c r="F522" s="245"/>
      <c r="G522" s="245"/>
      <c r="H522" s="245"/>
      <c r="I522" s="249"/>
      <c r="J522" s="244"/>
      <c r="K522" s="244"/>
      <c r="L522" s="244"/>
    </row>
    <row r="523" ht="17.25" customHeight="1" spans="1:19">
      <c r="A523" s="241"/>
      <c r="B523" s="47" t="s">
        <v>587</v>
      </c>
      <c r="C523" s="104" t="s">
        <v>588</v>
      </c>
      <c r="D523" s="47" t="s">
        <v>518</v>
      </c>
      <c r="E523" s="108"/>
      <c r="F523" s="246">
        <v>3.8504</v>
      </c>
      <c r="G523" s="246"/>
      <c r="H523" s="246"/>
      <c r="I523" s="250">
        <v>1</v>
      </c>
      <c r="J523" s="108">
        <f>ROUND(E521*F523*I523,4)</f>
        <v>3.8504</v>
      </c>
      <c r="K523" s="108"/>
      <c r="L523" s="108"/>
      <c r="Q523" s="14">
        <v>0</v>
      </c>
      <c r="R523" s="14">
        <v>0</v>
      </c>
      <c r="S523" s="14">
        <v>1121</v>
      </c>
    </row>
    <row r="524" ht="17.25" customHeight="1" spans="1:19">
      <c r="A524" s="241"/>
      <c r="B524" s="47" t="s">
        <v>513</v>
      </c>
      <c r="C524" s="104" t="s">
        <v>514</v>
      </c>
      <c r="D524" s="47" t="s">
        <v>55</v>
      </c>
      <c r="E524" s="108"/>
      <c r="F524" s="246">
        <v>0.0109</v>
      </c>
      <c r="G524" s="246"/>
      <c r="H524" s="246"/>
      <c r="I524" s="250">
        <v>1</v>
      </c>
      <c r="J524" s="108">
        <f>ROUND(E521*F524*I524,4)</f>
        <v>0.0109</v>
      </c>
      <c r="K524" s="108"/>
      <c r="L524" s="108"/>
      <c r="Q524" s="14">
        <v>0</v>
      </c>
      <c r="R524" s="14">
        <v>0</v>
      </c>
      <c r="S524" s="14">
        <v>110</v>
      </c>
    </row>
    <row r="525" ht="17.25" customHeight="1" spans="1:19">
      <c r="A525" s="241"/>
      <c r="B525" s="47" t="s">
        <v>565</v>
      </c>
      <c r="C525" s="104" t="s">
        <v>566</v>
      </c>
      <c r="D525" s="47" t="s">
        <v>567</v>
      </c>
      <c r="E525" s="108"/>
      <c r="F525" s="246">
        <v>2.6</v>
      </c>
      <c r="G525" s="246"/>
      <c r="H525" s="246"/>
      <c r="I525" s="250">
        <v>1</v>
      </c>
      <c r="J525" s="108">
        <f>ROUND(E521*F525*I525,4)</f>
        <v>2.6</v>
      </c>
      <c r="K525" s="108"/>
      <c r="L525" s="108"/>
      <c r="Q525" s="14">
        <v>0</v>
      </c>
      <c r="R525" s="14">
        <v>0</v>
      </c>
      <c r="S525" s="14">
        <v>1113</v>
      </c>
    </row>
    <row r="526" ht="17.25" customHeight="1" spans="1:15">
      <c r="A526" s="241"/>
      <c r="B526" s="47" t="s">
        <v>793</v>
      </c>
      <c r="C526" s="104" t="s">
        <v>794</v>
      </c>
      <c r="D526" s="47" t="s">
        <v>792</v>
      </c>
      <c r="E526" s="108"/>
      <c r="F526" s="246">
        <v>10</v>
      </c>
      <c r="G526" s="246"/>
      <c r="H526" s="246"/>
      <c r="I526" s="250"/>
      <c r="J526" s="108"/>
      <c r="K526" s="108"/>
      <c r="L526" s="108"/>
      <c r="M526" s="14">
        <v>610</v>
      </c>
      <c r="O526" s="14">
        <v>723</v>
      </c>
    </row>
    <row r="527" ht="17.25" customHeight="1" spans="1:12">
      <c r="A527" s="241"/>
      <c r="B527" s="47"/>
      <c r="C527" s="242" t="s">
        <v>787</v>
      </c>
      <c r="D527" s="243"/>
      <c r="E527" s="244"/>
      <c r="F527" s="245"/>
      <c r="G527" s="245"/>
      <c r="H527" s="245"/>
      <c r="I527" s="249"/>
      <c r="J527" s="244"/>
      <c r="K527" s="244"/>
      <c r="L527" s="244"/>
    </row>
    <row r="528" ht="17.25" customHeight="1" spans="1:19">
      <c r="A528" s="241"/>
      <c r="B528" s="47" t="s">
        <v>602</v>
      </c>
      <c r="C528" s="104" t="s">
        <v>603</v>
      </c>
      <c r="D528" s="47" t="s">
        <v>594</v>
      </c>
      <c r="E528" s="108"/>
      <c r="F528" s="246"/>
      <c r="G528" s="246">
        <v>0.85</v>
      </c>
      <c r="H528" s="246"/>
      <c r="I528" s="250">
        <v>1</v>
      </c>
      <c r="J528" s="108"/>
      <c r="K528" s="108">
        <f>ROUND(E521*G528*I528,4)</f>
        <v>0.85</v>
      </c>
      <c r="L528" s="108"/>
      <c r="S528" s="14">
        <v>212</v>
      </c>
    </row>
    <row r="529" ht="55.5" customHeight="1" spans="1:12">
      <c r="A529" s="241">
        <v>28</v>
      </c>
      <c r="B529" s="47" t="s">
        <v>461</v>
      </c>
      <c r="C529" s="104" t="s">
        <v>462</v>
      </c>
      <c r="D529" s="47" t="s">
        <v>107</v>
      </c>
      <c r="E529" s="108">
        <v>0.0077</v>
      </c>
      <c r="F529" s="246"/>
      <c r="G529" s="246"/>
      <c r="H529" s="246"/>
      <c r="I529" s="250"/>
      <c r="J529" s="108"/>
      <c r="K529" s="108"/>
      <c r="L529" s="108"/>
    </row>
    <row r="530" ht="17.25" customHeight="1" spans="1:12">
      <c r="A530" s="241"/>
      <c r="B530" s="47"/>
      <c r="C530" s="242" t="s">
        <v>789</v>
      </c>
      <c r="D530" s="243"/>
      <c r="E530" s="244"/>
      <c r="F530" s="245"/>
      <c r="G530" s="245"/>
      <c r="H530" s="245"/>
      <c r="I530" s="249"/>
      <c r="J530" s="244"/>
      <c r="K530" s="244"/>
      <c r="L530" s="244"/>
    </row>
    <row r="531" ht="17.25" customHeight="1" spans="1:19">
      <c r="A531" s="241"/>
      <c r="B531" s="47" t="s">
        <v>554</v>
      </c>
      <c r="C531" s="104" t="s">
        <v>555</v>
      </c>
      <c r="D531" s="47" t="s">
        <v>55</v>
      </c>
      <c r="E531" s="108"/>
      <c r="F531" s="246">
        <v>0.792</v>
      </c>
      <c r="G531" s="246"/>
      <c r="H531" s="246"/>
      <c r="I531" s="250">
        <v>1</v>
      </c>
      <c r="J531" s="108">
        <f>ROUND(E529*F531*I531,4)</f>
        <v>0.0061</v>
      </c>
      <c r="K531" s="108"/>
      <c r="L531" s="108"/>
      <c r="Q531" s="14">
        <v>0</v>
      </c>
      <c r="R531" s="14">
        <v>0</v>
      </c>
      <c r="S531" s="14">
        <v>119</v>
      </c>
    </row>
    <row r="532" ht="17.25" customHeight="1" spans="1:19">
      <c r="A532" s="241"/>
      <c r="B532" s="47" t="s">
        <v>549</v>
      </c>
      <c r="C532" s="104" t="s">
        <v>550</v>
      </c>
      <c r="D532" s="47" t="s">
        <v>55</v>
      </c>
      <c r="E532" s="108"/>
      <c r="F532" s="246">
        <v>0.112</v>
      </c>
      <c r="G532" s="246"/>
      <c r="H532" s="246"/>
      <c r="I532" s="250">
        <v>1</v>
      </c>
      <c r="J532" s="108">
        <f>ROUND(E529*F532*I532,4)</f>
        <v>0.0009</v>
      </c>
      <c r="K532" s="108"/>
      <c r="L532" s="108"/>
      <c r="Q532" s="14">
        <v>0</v>
      </c>
      <c r="R532" s="14">
        <v>0</v>
      </c>
      <c r="S532" s="14">
        <v>117</v>
      </c>
    </row>
    <row r="533" ht="17.25" customHeight="1" spans="1:19">
      <c r="A533" s="241"/>
      <c r="B533" s="47" t="s">
        <v>546</v>
      </c>
      <c r="C533" s="104" t="s">
        <v>547</v>
      </c>
      <c r="D533" s="47" t="s">
        <v>55</v>
      </c>
      <c r="E533" s="108"/>
      <c r="F533" s="246">
        <v>0.668</v>
      </c>
      <c r="G533" s="246"/>
      <c r="H533" s="246"/>
      <c r="I533" s="250">
        <v>1</v>
      </c>
      <c r="J533" s="108">
        <f>ROUND(E529*F533*I533,4)</f>
        <v>0.0051</v>
      </c>
      <c r="K533" s="108"/>
      <c r="L533" s="108"/>
      <c r="Q533" s="14">
        <v>0</v>
      </c>
      <c r="R533" s="14">
        <v>0</v>
      </c>
      <c r="S533" s="14">
        <v>116</v>
      </c>
    </row>
    <row r="534" ht="17.25" customHeight="1" spans="1:19">
      <c r="A534" s="241"/>
      <c r="B534" s="47" t="s">
        <v>536</v>
      </c>
      <c r="C534" s="104" t="s">
        <v>537</v>
      </c>
      <c r="D534" s="47" t="s">
        <v>518</v>
      </c>
      <c r="E534" s="108"/>
      <c r="F534" s="246">
        <v>8.05</v>
      </c>
      <c r="G534" s="246"/>
      <c r="H534" s="246"/>
      <c r="I534" s="250">
        <v>1</v>
      </c>
      <c r="J534" s="108">
        <f>ROUND(E529*F534*I534,4)</f>
        <v>0.062</v>
      </c>
      <c r="K534" s="108"/>
      <c r="L534" s="108"/>
      <c r="Q534" s="14">
        <v>0</v>
      </c>
      <c r="R534" s="14">
        <v>0</v>
      </c>
      <c r="S534" s="14">
        <v>114</v>
      </c>
    </row>
    <row r="535" ht="17.25" customHeight="1" spans="1:15">
      <c r="A535" s="241"/>
      <c r="B535" s="47" t="s">
        <v>793</v>
      </c>
      <c r="C535" s="104" t="s">
        <v>794</v>
      </c>
      <c r="D535" s="47" t="s">
        <v>792</v>
      </c>
      <c r="E535" s="108"/>
      <c r="F535" s="246">
        <v>1</v>
      </c>
      <c r="G535" s="246"/>
      <c r="H535" s="246"/>
      <c r="I535" s="250"/>
      <c r="J535" s="108"/>
      <c r="K535" s="108"/>
      <c r="L535" s="108"/>
      <c r="M535" s="14">
        <v>254</v>
      </c>
      <c r="O535" s="14">
        <v>254</v>
      </c>
    </row>
    <row r="536" ht="17.25" customHeight="1" spans="1:12">
      <c r="A536" s="241"/>
      <c r="B536" s="47"/>
      <c r="C536" s="242" t="s">
        <v>787</v>
      </c>
      <c r="D536" s="243"/>
      <c r="E536" s="244"/>
      <c r="F536" s="245"/>
      <c r="G536" s="245"/>
      <c r="H536" s="245"/>
      <c r="I536" s="249"/>
      <c r="J536" s="244"/>
      <c r="K536" s="244"/>
      <c r="L536" s="244"/>
    </row>
    <row r="537" ht="17.25" customHeight="1" spans="1:19">
      <c r="A537" s="241"/>
      <c r="B537" s="47" t="s">
        <v>602</v>
      </c>
      <c r="C537" s="104" t="s">
        <v>603</v>
      </c>
      <c r="D537" s="47" t="s">
        <v>594</v>
      </c>
      <c r="E537" s="108"/>
      <c r="F537" s="246"/>
      <c r="G537" s="246">
        <v>28.47</v>
      </c>
      <c r="H537" s="246"/>
      <c r="I537" s="250">
        <v>1</v>
      </c>
      <c r="J537" s="108"/>
      <c r="K537" s="108">
        <f>ROUND(E529*G537*I537,4)</f>
        <v>0.2192</v>
      </c>
      <c r="L537" s="108"/>
      <c r="S537" s="14">
        <v>212</v>
      </c>
    </row>
    <row r="538" ht="55.5" customHeight="1" spans="1:12">
      <c r="A538" s="241">
        <v>29</v>
      </c>
      <c r="B538" s="47" t="s">
        <v>466</v>
      </c>
      <c r="C538" s="104" t="s">
        <v>467</v>
      </c>
      <c r="D538" s="47" t="s">
        <v>114</v>
      </c>
      <c r="E538" s="108">
        <v>0.0068</v>
      </c>
      <c r="F538" s="246"/>
      <c r="G538" s="246"/>
      <c r="H538" s="246"/>
      <c r="I538" s="250"/>
      <c r="J538" s="108"/>
      <c r="K538" s="108"/>
      <c r="L538" s="108"/>
    </row>
    <row r="539" ht="17.25" customHeight="1" spans="1:12">
      <c r="A539" s="241"/>
      <c r="B539" s="47"/>
      <c r="C539" s="242" t="s">
        <v>789</v>
      </c>
      <c r="D539" s="243"/>
      <c r="E539" s="244"/>
      <c r="F539" s="245"/>
      <c r="G539" s="245"/>
      <c r="H539" s="245"/>
      <c r="I539" s="249"/>
      <c r="J539" s="244"/>
      <c r="K539" s="244"/>
      <c r="L539" s="244"/>
    </row>
    <row r="540" ht="17.25" customHeight="1" spans="1:19">
      <c r="A540" s="241"/>
      <c r="B540" s="47" t="s">
        <v>572</v>
      </c>
      <c r="C540" s="104" t="s">
        <v>573</v>
      </c>
      <c r="D540" s="47" t="s">
        <v>518</v>
      </c>
      <c r="E540" s="108"/>
      <c r="F540" s="246">
        <v>1005</v>
      </c>
      <c r="G540" s="246"/>
      <c r="H540" s="246"/>
      <c r="I540" s="250">
        <v>1</v>
      </c>
      <c r="J540" s="108">
        <f>ROUND(E538*F540*I540,4)</f>
        <v>6.834</v>
      </c>
      <c r="K540" s="108"/>
      <c r="L540" s="108"/>
      <c r="S540" s="14">
        <v>1115</v>
      </c>
    </row>
    <row r="541" ht="17.25" customHeight="1" spans="1:19">
      <c r="A541" s="241"/>
      <c r="B541" s="47" t="s">
        <v>521</v>
      </c>
      <c r="C541" s="104" t="s">
        <v>522</v>
      </c>
      <c r="D541" s="47" t="s">
        <v>518</v>
      </c>
      <c r="E541" s="108"/>
      <c r="F541" s="246">
        <v>21.42</v>
      </c>
      <c r="G541" s="246"/>
      <c r="H541" s="246"/>
      <c r="I541" s="250">
        <v>1</v>
      </c>
      <c r="J541" s="108">
        <f>ROUND(E538*F541*I541,4)</f>
        <v>0.1457</v>
      </c>
      <c r="K541" s="108"/>
      <c r="L541" s="108"/>
      <c r="S541" s="14">
        <v>112</v>
      </c>
    </row>
    <row r="542" ht="17.25" customHeight="1" spans="1:12">
      <c r="A542" s="241"/>
      <c r="B542" s="47"/>
      <c r="C542" s="242" t="s">
        <v>787</v>
      </c>
      <c r="D542" s="243"/>
      <c r="E542" s="244"/>
      <c r="F542" s="245"/>
      <c r="G542" s="245"/>
      <c r="H542" s="245"/>
      <c r="I542" s="249"/>
      <c r="J542" s="244"/>
      <c r="K542" s="244"/>
      <c r="L542" s="244"/>
    </row>
    <row r="543" ht="17.25" customHeight="1" spans="1:19">
      <c r="A543" s="241"/>
      <c r="B543" s="47" t="s">
        <v>596</v>
      </c>
      <c r="C543" s="104" t="s">
        <v>597</v>
      </c>
      <c r="D543" s="47" t="s">
        <v>594</v>
      </c>
      <c r="E543" s="108"/>
      <c r="F543" s="246"/>
      <c r="G543" s="246">
        <v>24.32</v>
      </c>
      <c r="H543" s="246"/>
      <c r="I543" s="250">
        <v>1</v>
      </c>
      <c r="J543" s="108"/>
      <c r="K543" s="108">
        <f>ROUND(E538*G543*I543,4)</f>
        <v>0.1654</v>
      </c>
      <c r="L543" s="108"/>
      <c r="S543" s="14">
        <v>211</v>
      </c>
    </row>
    <row r="544" ht="17.25" customHeight="1" spans="1:12">
      <c r="A544" s="241"/>
      <c r="B544" s="47"/>
      <c r="C544" s="242" t="s">
        <v>788</v>
      </c>
      <c r="D544" s="243"/>
      <c r="E544" s="244"/>
      <c r="F544" s="245"/>
      <c r="G544" s="245"/>
      <c r="H544" s="245"/>
      <c r="I544" s="249"/>
      <c r="J544" s="244"/>
      <c r="K544" s="244"/>
      <c r="L544" s="244"/>
    </row>
    <row r="545" ht="17.25" customHeight="1" spans="1:19">
      <c r="A545" s="241"/>
      <c r="B545" s="47" t="s">
        <v>621</v>
      </c>
      <c r="C545" s="104" t="s">
        <v>622</v>
      </c>
      <c r="D545" s="47" t="s">
        <v>612</v>
      </c>
      <c r="E545" s="108"/>
      <c r="F545" s="246"/>
      <c r="G545" s="246"/>
      <c r="H545" s="246">
        <v>0.4</v>
      </c>
      <c r="I545" s="250">
        <v>1</v>
      </c>
      <c r="J545" s="108"/>
      <c r="K545" s="108"/>
      <c r="L545" s="108">
        <f>ROUND(E538*H545*I545,4)</f>
        <v>0.0027</v>
      </c>
      <c r="S545" s="14">
        <v>312</v>
      </c>
    </row>
    <row r="546" ht="17.25" customHeight="1" spans="1:19">
      <c r="A546" s="241"/>
      <c r="B546" s="47" t="s">
        <v>656</v>
      </c>
      <c r="C546" s="104" t="s">
        <v>657</v>
      </c>
      <c r="D546" s="47" t="s">
        <v>612</v>
      </c>
      <c r="E546" s="108"/>
      <c r="F546" s="246"/>
      <c r="G546" s="246"/>
      <c r="H546" s="246">
        <v>0.03</v>
      </c>
      <c r="I546" s="250">
        <v>1</v>
      </c>
      <c r="J546" s="108"/>
      <c r="K546" s="108"/>
      <c r="L546" s="108">
        <f>ROUND(E538*H546*I546,4)</f>
        <v>0.0002</v>
      </c>
      <c r="S546" s="14">
        <v>319</v>
      </c>
    </row>
    <row r="547" ht="17.25" customHeight="1" spans="1:19">
      <c r="A547" s="241"/>
      <c r="B547" s="47" t="s">
        <v>614</v>
      </c>
      <c r="C547" s="104" t="s">
        <v>615</v>
      </c>
      <c r="D547" s="47" t="s">
        <v>612</v>
      </c>
      <c r="E547" s="108"/>
      <c r="F547" s="246"/>
      <c r="G547" s="246"/>
      <c r="H547" s="246">
        <v>0.03</v>
      </c>
      <c r="I547" s="250">
        <v>1</v>
      </c>
      <c r="J547" s="108"/>
      <c r="K547" s="108"/>
      <c r="L547" s="108">
        <f>ROUND(E538*H547*I547,4)</f>
        <v>0.0002</v>
      </c>
      <c r="S547" s="14">
        <v>311</v>
      </c>
    </row>
    <row r="548" ht="17.25" customHeight="1" spans="1:16">
      <c r="A548" s="241"/>
      <c r="B548" s="47" t="s">
        <v>790</v>
      </c>
      <c r="C548" s="104" t="s">
        <v>791</v>
      </c>
      <c r="D548" s="47" t="s">
        <v>792</v>
      </c>
      <c r="E548" s="108"/>
      <c r="F548" s="246"/>
      <c r="G548" s="246"/>
      <c r="H548" s="246">
        <v>2</v>
      </c>
      <c r="I548" s="250"/>
      <c r="J548" s="108"/>
      <c r="K548" s="108"/>
      <c r="L548" s="108"/>
      <c r="N548" s="14">
        <v>24</v>
      </c>
      <c r="P548" s="14">
        <v>28</v>
      </c>
    </row>
    <row r="549" ht="55.5" customHeight="1" spans="1:12">
      <c r="A549" s="241">
        <v>30</v>
      </c>
      <c r="B549" s="47" t="s">
        <v>470</v>
      </c>
      <c r="C549" s="104" t="s">
        <v>471</v>
      </c>
      <c r="D549" s="47" t="s">
        <v>55</v>
      </c>
      <c r="E549" s="108">
        <v>0.0302</v>
      </c>
      <c r="F549" s="246"/>
      <c r="G549" s="246"/>
      <c r="H549" s="246"/>
      <c r="I549" s="250"/>
      <c r="J549" s="108"/>
      <c r="K549" s="108"/>
      <c r="L549" s="108"/>
    </row>
    <row r="550" ht="17.25" customHeight="1" spans="1:12">
      <c r="A550" s="241"/>
      <c r="B550" s="47"/>
      <c r="C550" s="242" t="s">
        <v>789</v>
      </c>
      <c r="D550" s="243"/>
      <c r="E550" s="244"/>
      <c r="F550" s="245"/>
      <c r="G550" s="245"/>
      <c r="H550" s="245"/>
      <c r="I550" s="249"/>
      <c r="J550" s="244"/>
      <c r="K550" s="244"/>
      <c r="L550" s="244"/>
    </row>
    <row r="551" ht="17.25" customHeight="1" spans="1:19">
      <c r="A551" s="241"/>
      <c r="B551" s="47" t="s">
        <v>587</v>
      </c>
      <c r="C551" s="104" t="s">
        <v>588</v>
      </c>
      <c r="D551" s="47" t="s">
        <v>518</v>
      </c>
      <c r="E551" s="108"/>
      <c r="F551" s="246">
        <v>350.55</v>
      </c>
      <c r="G551" s="246"/>
      <c r="H551" s="246"/>
      <c r="I551" s="250">
        <v>1</v>
      </c>
      <c r="J551" s="108">
        <f>ROUND(E549*F551*I551,4)</f>
        <v>10.5866</v>
      </c>
      <c r="K551" s="108"/>
      <c r="L551" s="108"/>
      <c r="Q551" s="14">
        <v>0</v>
      </c>
      <c r="R551" s="14">
        <v>0</v>
      </c>
      <c r="S551" s="14">
        <v>1121</v>
      </c>
    </row>
    <row r="552" ht="17.25" customHeight="1" spans="1:19">
      <c r="A552" s="241"/>
      <c r="B552" s="47" t="s">
        <v>513</v>
      </c>
      <c r="C552" s="104" t="s">
        <v>514</v>
      </c>
      <c r="D552" s="47" t="s">
        <v>55</v>
      </c>
      <c r="E552" s="108"/>
      <c r="F552" s="246">
        <v>0.480725</v>
      </c>
      <c r="G552" s="246"/>
      <c r="H552" s="246"/>
      <c r="I552" s="250">
        <v>1</v>
      </c>
      <c r="J552" s="108">
        <f>ROUND(E549*F552*I552,4)</f>
        <v>0.0145</v>
      </c>
      <c r="K552" s="108"/>
      <c r="L552" s="108"/>
      <c r="Q552" s="14">
        <v>0</v>
      </c>
      <c r="R552" s="14">
        <v>0</v>
      </c>
      <c r="S552" s="14">
        <v>110</v>
      </c>
    </row>
    <row r="553" ht="17.25" customHeight="1" spans="1:19">
      <c r="A553" s="241"/>
      <c r="B553" s="47" t="s">
        <v>527</v>
      </c>
      <c r="C553" s="104" t="s">
        <v>528</v>
      </c>
      <c r="D553" s="47" t="s">
        <v>55</v>
      </c>
      <c r="E553" s="108"/>
      <c r="F553" s="246">
        <v>0.89995</v>
      </c>
      <c r="G553" s="246"/>
      <c r="H553" s="246"/>
      <c r="I553" s="250">
        <v>1</v>
      </c>
      <c r="J553" s="108">
        <f>ROUND(E549*F553*I553,4)</f>
        <v>0.0272</v>
      </c>
      <c r="K553" s="108"/>
      <c r="L553" s="108"/>
      <c r="Q553" s="14">
        <v>0</v>
      </c>
      <c r="R553" s="14">
        <v>0</v>
      </c>
      <c r="S553" s="14">
        <v>113</v>
      </c>
    </row>
    <row r="554" ht="17.25" customHeight="1" spans="1:19">
      <c r="A554" s="241"/>
      <c r="B554" s="47" t="s">
        <v>565</v>
      </c>
      <c r="C554" s="104" t="s">
        <v>566</v>
      </c>
      <c r="D554" s="47" t="s">
        <v>567</v>
      </c>
      <c r="E554" s="108"/>
      <c r="F554" s="246">
        <v>189.625</v>
      </c>
      <c r="G554" s="246"/>
      <c r="H554" s="246"/>
      <c r="I554" s="250">
        <v>1</v>
      </c>
      <c r="J554" s="108">
        <f>ROUND(E549*F554*I554,4)</f>
        <v>5.7267</v>
      </c>
      <c r="K554" s="108"/>
      <c r="L554" s="108"/>
      <c r="Q554" s="14">
        <v>0</v>
      </c>
      <c r="R554" s="14">
        <v>0</v>
      </c>
      <c r="S554" s="14">
        <v>1113</v>
      </c>
    </row>
    <row r="555" ht="17.25" customHeight="1" spans="1:15">
      <c r="A555" s="241"/>
      <c r="B555" s="47" t="s">
        <v>793</v>
      </c>
      <c r="C555" s="104" t="s">
        <v>794</v>
      </c>
      <c r="D555" s="47" t="s">
        <v>792</v>
      </c>
      <c r="E555" s="108"/>
      <c r="F555" s="246">
        <v>1</v>
      </c>
      <c r="G555" s="246"/>
      <c r="H555" s="246"/>
      <c r="I555" s="250"/>
      <c r="J555" s="108"/>
      <c r="K555" s="108"/>
      <c r="L555" s="108"/>
      <c r="M555" s="14">
        <v>196</v>
      </c>
      <c r="O555" s="14">
        <v>229</v>
      </c>
    </row>
    <row r="556" ht="17.25" customHeight="1" spans="1:12">
      <c r="A556" s="241"/>
      <c r="B556" s="47"/>
      <c r="C556" s="242" t="s">
        <v>787</v>
      </c>
      <c r="D556" s="243"/>
      <c r="E556" s="244"/>
      <c r="F556" s="245"/>
      <c r="G556" s="245"/>
      <c r="H556" s="245"/>
      <c r="I556" s="249"/>
      <c r="J556" s="244"/>
      <c r="K556" s="244"/>
      <c r="L556" s="244"/>
    </row>
    <row r="557" ht="17.25" customHeight="1" spans="1:19">
      <c r="A557" s="241"/>
      <c r="B557" s="47" t="s">
        <v>596</v>
      </c>
      <c r="C557" s="104" t="s">
        <v>597</v>
      </c>
      <c r="D557" s="47" t="s">
        <v>594</v>
      </c>
      <c r="E557" s="108"/>
      <c r="F557" s="246"/>
      <c r="G557" s="246">
        <v>3.8</v>
      </c>
      <c r="H557" s="246"/>
      <c r="I557" s="250">
        <v>1</v>
      </c>
      <c r="J557" s="108"/>
      <c r="K557" s="108">
        <f>ROUND(E549*G557*I557,4)</f>
        <v>0.1148</v>
      </c>
      <c r="L557" s="108"/>
      <c r="S557" s="14">
        <v>211</v>
      </c>
    </row>
    <row r="558" ht="17.25" customHeight="1" spans="1:12">
      <c r="A558" s="241"/>
      <c r="B558" s="47"/>
      <c r="C558" s="242" t="s">
        <v>788</v>
      </c>
      <c r="D558" s="243"/>
      <c r="E558" s="244"/>
      <c r="F558" s="245"/>
      <c r="G558" s="245"/>
      <c r="H558" s="245"/>
      <c r="I558" s="249"/>
      <c r="J558" s="244"/>
      <c r="K558" s="244"/>
      <c r="L558" s="244"/>
    </row>
    <row r="559" ht="17.25" customHeight="1" spans="1:19">
      <c r="A559" s="241"/>
      <c r="B559" s="47" t="s">
        <v>642</v>
      </c>
      <c r="C559" s="104" t="s">
        <v>643</v>
      </c>
      <c r="D559" s="47" t="s">
        <v>612</v>
      </c>
      <c r="E559" s="108"/>
      <c r="F559" s="246"/>
      <c r="G559" s="246"/>
      <c r="H559" s="246">
        <v>0.095</v>
      </c>
      <c r="I559" s="250">
        <v>1</v>
      </c>
      <c r="J559" s="108"/>
      <c r="K559" s="108"/>
      <c r="L559" s="108">
        <f>ROUND(E549*H559*I559,4)</f>
        <v>0.0029</v>
      </c>
      <c r="S559" s="14">
        <v>315</v>
      </c>
    </row>
    <row r="560" ht="17.25" customHeight="1" spans="1:19">
      <c r="A560" s="241"/>
      <c r="B560" s="47" t="s">
        <v>633</v>
      </c>
      <c r="C560" s="104" t="s">
        <v>634</v>
      </c>
      <c r="D560" s="47" t="s">
        <v>612</v>
      </c>
      <c r="E560" s="108"/>
      <c r="F560" s="246"/>
      <c r="G560" s="246"/>
      <c r="H560" s="246">
        <v>0.089</v>
      </c>
      <c r="I560" s="250">
        <v>1</v>
      </c>
      <c r="J560" s="108"/>
      <c r="K560" s="108"/>
      <c r="L560" s="108">
        <f>ROUND(E549*H560*I560,4)</f>
        <v>0.0027</v>
      </c>
      <c r="S560" s="14">
        <v>313</v>
      </c>
    </row>
    <row r="561" ht="17.25" customHeight="1" spans="1:19">
      <c r="A561" s="241"/>
      <c r="B561" s="47" t="s">
        <v>645</v>
      </c>
      <c r="C561" s="104" t="s">
        <v>646</v>
      </c>
      <c r="D561" s="47" t="s">
        <v>612</v>
      </c>
      <c r="E561" s="108"/>
      <c r="F561" s="246"/>
      <c r="G561" s="246"/>
      <c r="H561" s="246">
        <v>0.11</v>
      </c>
      <c r="I561" s="250">
        <v>1</v>
      </c>
      <c r="J561" s="108"/>
      <c r="K561" s="108"/>
      <c r="L561" s="108">
        <f>ROUND(E549*H561*I561,4)</f>
        <v>0.0033</v>
      </c>
      <c r="S561" s="14">
        <v>316</v>
      </c>
    </row>
    <row r="562" ht="30" customHeight="1" spans="1:12">
      <c r="A562" s="241">
        <v>31</v>
      </c>
      <c r="B562" s="47" t="s">
        <v>476</v>
      </c>
      <c r="C562" s="104" t="s">
        <v>477</v>
      </c>
      <c r="D562" s="47" t="s">
        <v>107</v>
      </c>
      <c r="E562" s="108">
        <v>0.3524</v>
      </c>
      <c r="F562" s="246"/>
      <c r="G562" s="246"/>
      <c r="H562" s="246"/>
      <c r="I562" s="250"/>
      <c r="J562" s="108"/>
      <c r="K562" s="108"/>
      <c r="L562" s="108"/>
    </row>
    <row r="563" ht="17.25" customHeight="1" spans="1:12">
      <c r="A563" s="241"/>
      <c r="B563" s="47"/>
      <c r="C563" s="242" t="s">
        <v>789</v>
      </c>
      <c r="D563" s="243"/>
      <c r="E563" s="244"/>
      <c r="F563" s="245"/>
      <c r="G563" s="245"/>
      <c r="H563" s="245"/>
      <c r="I563" s="249"/>
      <c r="J563" s="244"/>
      <c r="K563" s="244"/>
      <c r="L563" s="244"/>
    </row>
    <row r="564" ht="17.25" customHeight="1" spans="1:19">
      <c r="A564" s="241"/>
      <c r="B564" s="47" t="s">
        <v>554</v>
      </c>
      <c r="C564" s="104" t="s">
        <v>555</v>
      </c>
      <c r="D564" s="47" t="s">
        <v>55</v>
      </c>
      <c r="E564" s="108"/>
      <c r="F564" s="246">
        <v>0.792</v>
      </c>
      <c r="G564" s="246"/>
      <c r="H564" s="246"/>
      <c r="I564" s="250">
        <v>1</v>
      </c>
      <c r="J564" s="108">
        <f>ROUND(E562*F564*I564,4)</f>
        <v>0.2791</v>
      </c>
      <c r="K564" s="108"/>
      <c r="L564" s="108"/>
      <c r="Q564" s="14">
        <v>0</v>
      </c>
      <c r="R564" s="14">
        <v>0</v>
      </c>
      <c r="S564" s="14">
        <v>119</v>
      </c>
    </row>
    <row r="565" ht="17.25" customHeight="1" spans="1:19">
      <c r="A565" s="241"/>
      <c r="B565" s="47" t="s">
        <v>552</v>
      </c>
      <c r="C565" s="104" t="s">
        <v>553</v>
      </c>
      <c r="D565" s="47" t="s">
        <v>55</v>
      </c>
      <c r="E565" s="108"/>
      <c r="F565" s="246">
        <v>0.981</v>
      </c>
      <c r="G565" s="246"/>
      <c r="H565" s="246"/>
      <c r="I565" s="250">
        <v>1</v>
      </c>
      <c r="J565" s="108">
        <f>ROUND(E562*F565*I565,4)</f>
        <v>0.3457</v>
      </c>
      <c r="K565" s="108"/>
      <c r="L565" s="108"/>
      <c r="Q565" s="14">
        <v>0</v>
      </c>
      <c r="R565" s="14">
        <v>0</v>
      </c>
      <c r="S565" s="14">
        <v>118</v>
      </c>
    </row>
    <row r="566" ht="17.25" customHeight="1" spans="1:19">
      <c r="A566" s="241"/>
      <c r="B566" s="47" t="s">
        <v>536</v>
      </c>
      <c r="C566" s="104" t="s">
        <v>537</v>
      </c>
      <c r="D566" s="47" t="s">
        <v>518</v>
      </c>
      <c r="E566" s="108"/>
      <c r="F566" s="246">
        <v>11.45</v>
      </c>
      <c r="G566" s="246"/>
      <c r="H566" s="246"/>
      <c r="I566" s="250">
        <v>1</v>
      </c>
      <c r="J566" s="108">
        <f>ROUND(E562*F566*I566,4)</f>
        <v>4.035</v>
      </c>
      <c r="K566" s="108"/>
      <c r="L566" s="108"/>
      <c r="Q566" s="14">
        <v>0</v>
      </c>
      <c r="R566" s="14">
        <v>0</v>
      </c>
      <c r="S566" s="14">
        <v>114</v>
      </c>
    </row>
    <row r="567" ht="17.25" customHeight="1" spans="1:19">
      <c r="A567" s="241"/>
      <c r="B567" s="47" t="s">
        <v>539</v>
      </c>
      <c r="C567" s="104" t="s">
        <v>540</v>
      </c>
      <c r="D567" s="47" t="s">
        <v>450</v>
      </c>
      <c r="E567" s="108"/>
      <c r="F567" s="246">
        <v>29</v>
      </c>
      <c r="G567" s="246"/>
      <c r="H567" s="246"/>
      <c r="I567" s="250">
        <v>1</v>
      </c>
      <c r="J567" s="108">
        <f>ROUND(E562*F567*I567,4)</f>
        <v>10.2196</v>
      </c>
      <c r="K567" s="108"/>
      <c r="L567" s="108"/>
      <c r="Q567" s="14">
        <v>0</v>
      </c>
      <c r="R567" s="14">
        <v>0</v>
      </c>
      <c r="S567" s="14">
        <v>115</v>
      </c>
    </row>
    <row r="568" ht="17.25" customHeight="1" spans="1:15">
      <c r="A568" s="241"/>
      <c r="B568" s="47" t="s">
        <v>793</v>
      </c>
      <c r="C568" s="104" t="s">
        <v>794</v>
      </c>
      <c r="D568" s="47" t="s">
        <v>792</v>
      </c>
      <c r="E568" s="108"/>
      <c r="F568" s="246">
        <v>1</v>
      </c>
      <c r="G568" s="246"/>
      <c r="H568" s="246"/>
      <c r="I568" s="250"/>
      <c r="J568" s="108"/>
      <c r="K568" s="108"/>
      <c r="L568" s="108"/>
      <c r="M568" s="14">
        <v>13569</v>
      </c>
      <c r="O568" s="14">
        <v>13610</v>
      </c>
    </row>
    <row r="569" ht="17.25" customHeight="1" spans="1:12">
      <c r="A569" s="241"/>
      <c r="B569" s="47"/>
      <c r="C569" s="242" t="s">
        <v>787</v>
      </c>
      <c r="D569" s="243"/>
      <c r="E569" s="244"/>
      <c r="F569" s="245"/>
      <c r="G569" s="245"/>
      <c r="H569" s="245"/>
      <c r="I569" s="249"/>
      <c r="J569" s="244"/>
      <c r="K569" s="244"/>
      <c r="L569" s="244"/>
    </row>
    <row r="570" ht="17.25" customHeight="1" spans="1:19">
      <c r="A570" s="241"/>
      <c r="B570" s="47" t="s">
        <v>602</v>
      </c>
      <c r="C570" s="104" t="s">
        <v>603</v>
      </c>
      <c r="D570" s="47" t="s">
        <v>594</v>
      </c>
      <c r="E570" s="108"/>
      <c r="F570" s="246"/>
      <c r="G570" s="246">
        <v>45.76</v>
      </c>
      <c r="H570" s="246"/>
      <c r="I570" s="250">
        <v>1</v>
      </c>
      <c r="J570" s="108"/>
      <c r="K570" s="108">
        <f>ROUND(E562*G570*I570,4)</f>
        <v>16.1258</v>
      </c>
      <c r="L570" s="108"/>
      <c r="S570" s="14">
        <v>212</v>
      </c>
    </row>
    <row r="571" ht="55.5" customHeight="1" spans="1:12">
      <c r="A571" s="241">
        <v>32</v>
      </c>
      <c r="B571" s="47" t="s">
        <v>483</v>
      </c>
      <c r="C571" s="104" t="s">
        <v>484</v>
      </c>
      <c r="D571" s="47" t="s">
        <v>114</v>
      </c>
      <c r="E571" s="108">
        <v>0.2776</v>
      </c>
      <c r="F571" s="246"/>
      <c r="G571" s="246"/>
      <c r="H571" s="246"/>
      <c r="I571" s="250"/>
      <c r="J571" s="108"/>
      <c r="K571" s="108"/>
      <c r="L571" s="108"/>
    </row>
    <row r="572" ht="17.25" customHeight="1" spans="1:12">
      <c r="A572" s="241"/>
      <c r="B572" s="47"/>
      <c r="C572" s="242" t="s">
        <v>789</v>
      </c>
      <c r="D572" s="243"/>
      <c r="E572" s="244"/>
      <c r="F572" s="245"/>
      <c r="G572" s="245"/>
      <c r="H572" s="245"/>
      <c r="I572" s="249"/>
      <c r="J572" s="244"/>
      <c r="K572" s="244"/>
      <c r="L572" s="244"/>
    </row>
    <row r="573" ht="17.25" customHeight="1" spans="1:19">
      <c r="A573" s="241"/>
      <c r="B573" s="47" t="s">
        <v>572</v>
      </c>
      <c r="C573" s="104" t="s">
        <v>573</v>
      </c>
      <c r="D573" s="47" t="s">
        <v>518</v>
      </c>
      <c r="E573" s="108"/>
      <c r="F573" s="246">
        <v>1005</v>
      </c>
      <c r="G573" s="246"/>
      <c r="H573" s="246"/>
      <c r="I573" s="250">
        <v>1</v>
      </c>
      <c r="J573" s="108">
        <f>ROUND(E571*F573*I573,4)</f>
        <v>278.988</v>
      </c>
      <c r="K573" s="108"/>
      <c r="L573" s="108"/>
      <c r="S573" s="14">
        <v>1115</v>
      </c>
    </row>
    <row r="574" ht="17.25" customHeight="1" spans="1:19">
      <c r="A574" s="241"/>
      <c r="B574" s="47" t="s">
        <v>521</v>
      </c>
      <c r="C574" s="104" t="s">
        <v>522</v>
      </c>
      <c r="D574" s="47" t="s">
        <v>518</v>
      </c>
      <c r="E574" s="108"/>
      <c r="F574" s="246">
        <v>21.42</v>
      </c>
      <c r="G574" s="246"/>
      <c r="H574" s="246"/>
      <c r="I574" s="250">
        <v>1</v>
      </c>
      <c r="J574" s="108">
        <f>ROUND(E571*F574*I574,4)</f>
        <v>5.9462</v>
      </c>
      <c r="K574" s="108"/>
      <c r="L574" s="108"/>
      <c r="S574" s="14">
        <v>112</v>
      </c>
    </row>
    <row r="575" ht="17.25" customHeight="1" spans="1:12">
      <c r="A575" s="241"/>
      <c r="B575" s="47"/>
      <c r="C575" s="242" t="s">
        <v>787</v>
      </c>
      <c r="D575" s="243"/>
      <c r="E575" s="244"/>
      <c r="F575" s="245"/>
      <c r="G575" s="245"/>
      <c r="H575" s="245"/>
      <c r="I575" s="249"/>
      <c r="J575" s="244"/>
      <c r="K575" s="244"/>
      <c r="L575" s="244"/>
    </row>
    <row r="576" ht="17.25" customHeight="1" spans="1:19">
      <c r="A576" s="241"/>
      <c r="B576" s="47" t="s">
        <v>596</v>
      </c>
      <c r="C576" s="104" t="s">
        <v>597</v>
      </c>
      <c r="D576" s="47" t="s">
        <v>594</v>
      </c>
      <c r="E576" s="108"/>
      <c r="F576" s="246"/>
      <c r="G576" s="246">
        <v>20.36</v>
      </c>
      <c r="H576" s="246"/>
      <c r="I576" s="250">
        <v>1</v>
      </c>
      <c r="J576" s="108"/>
      <c r="K576" s="108">
        <f>ROUND(E571*G576*I576,4)</f>
        <v>5.6519</v>
      </c>
      <c r="L576" s="108"/>
      <c r="S576" s="14">
        <v>211</v>
      </c>
    </row>
    <row r="577" ht="17.25" customHeight="1" spans="1:12">
      <c r="A577" s="241"/>
      <c r="B577" s="47"/>
      <c r="C577" s="242" t="s">
        <v>788</v>
      </c>
      <c r="D577" s="243"/>
      <c r="E577" s="244"/>
      <c r="F577" s="245"/>
      <c r="G577" s="245"/>
      <c r="H577" s="245"/>
      <c r="I577" s="249"/>
      <c r="J577" s="244"/>
      <c r="K577" s="244"/>
      <c r="L577" s="244"/>
    </row>
    <row r="578" ht="17.25" customHeight="1" spans="1:19">
      <c r="A578" s="241"/>
      <c r="B578" s="47" t="s">
        <v>621</v>
      </c>
      <c r="C578" s="104" t="s">
        <v>622</v>
      </c>
      <c r="D578" s="47" t="s">
        <v>612</v>
      </c>
      <c r="E578" s="108"/>
      <c r="F578" s="246"/>
      <c r="G578" s="246"/>
      <c r="H578" s="246">
        <v>0.4</v>
      </c>
      <c r="I578" s="250">
        <v>1</v>
      </c>
      <c r="J578" s="108"/>
      <c r="K578" s="108"/>
      <c r="L578" s="108">
        <f>ROUND(E571*H578*I578,4)</f>
        <v>0.111</v>
      </c>
      <c r="S578" s="14">
        <v>312</v>
      </c>
    </row>
    <row r="579" ht="17.25" customHeight="1" spans="1:19">
      <c r="A579" s="241"/>
      <c r="B579" s="47" t="s">
        <v>656</v>
      </c>
      <c r="C579" s="104" t="s">
        <v>657</v>
      </c>
      <c r="D579" s="47" t="s">
        <v>612</v>
      </c>
      <c r="E579" s="108"/>
      <c r="F579" s="246"/>
      <c r="G579" s="246"/>
      <c r="H579" s="246">
        <v>0.03</v>
      </c>
      <c r="I579" s="250">
        <v>1</v>
      </c>
      <c r="J579" s="108"/>
      <c r="K579" s="108"/>
      <c r="L579" s="108">
        <f>ROUND(E571*H579*I579,4)</f>
        <v>0.0083</v>
      </c>
      <c r="S579" s="14">
        <v>319</v>
      </c>
    </row>
    <row r="580" ht="17.25" customHeight="1" spans="1:19">
      <c r="A580" s="241"/>
      <c r="B580" s="47" t="s">
        <v>614</v>
      </c>
      <c r="C580" s="104" t="s">
        <v>615</v>
      </c>
      <c r="D580" s="47" t="s">
        <v>612</v>
      </c>
      <c r="E580" s="108"/>
      <c r="F580" s="246"/>
      <c r="G580" s="246"/>
      <c r="H580" s="246">
        <v>0.03</v>
      </c>
      <c r="I580" s="250">
        <v>1</v>
      </c>
      <c r="J580" s="108"/>
      <c r="K580" s="108"/>
      <c r="L580" s="108">
        <f>ROUND(E571*H580*I580,4)</f>
        <v>0.0083</v>
      </c>
      <c r="S580" s="14">
        <v>311</v>
      </c>
    </row>
    <row r="581" ht="17.25" customHeight="1" spans="1:16">
      <c r="A581" s="241"/>
      <c r="B581" s="47" t="s">
        <v>790</v>
      </c>
      <c r="C581" s="104" t="s">
        <v>791</v>
      </c>
      <c r="D581" s="47" t="s">
        <v>792</v>
      </c>
      <c r="E581" s="108"/>
      <c r="F581" s="246"/>
      <c r="G581" s="246"/>
      <c r="H581" s="246">
        <v>2</v>
      </c>
      <c r="I581" s="250"/>
      <c r="J581" s="108"/>
      <c r="K581" s="108"/>
      <c r="L581" s="108"/>
      <c r="N581" s="14">
        <v>964</v>
      </c>
      <c r="P581" s="14">
        <v>1138</v>
      </c>
    </row>
    <row r="582" ht="55.5" customHeight="1" spans="1:12">
      <c r="A582" s="241">
        <v>33</v>
      </c>
      <c r="B582" s="47" t="s">
        <v>399</v>
      </c>
      <c r="C582" s="104" t="s">
        <v>488</v>
      </c>
      <c r="D582" s="47" t="s">
        <v>55</v>
      </c>
      <c r="E582" s="108">
        <v>3.817</v>
      </c>
      <c r="F582" s="246"/>
      <c r="G582" s="246"/>
      <c r="H582" s="246"/>
      <c r="I582" s="250"/>
      <c r="J582" s="108"/>
      <c r="K582" s="108"/>
      <c r="L582" s="108"/>
    </row>
    <row r="583" ht="17.25" customHeight="1" spans="1:12">
      <c r="A583" s="241"/>
      <c r="B583" s="47"/>
      <c r="C583" s="242" t="s">
        <v>789</v>
      </c>
      <c r="D583" s="243"/>
      <c r="E583" s="244"/>
      <c r="F583" s="245"/>
      <c r="G583" s="245"/>
      <c r="H583" s="245"/>
      <c r="I583" s="249"/>
      <c r="J583" s="244"/>
      <c r="K583" s="244"/>
      <c r="L583" s="244"/>
    </row>
    <row r="584" ht="30" customHeight="1" spans="1:19">
      <c r="A584" s="241"/>
      <c r="B584" s="47" t="s">
        <v>156</v>
      </c>
      <c r="C584" s="104" t="s">
        <v>585</v>
      </c>
      <c r="D584" s="47" t="s">
        <v>55</v>
      </c>
      <c r="E584" s="108"/>
      <c r="F584" s="246">
        <v>1.015</v>
      </c>
      <c r="G584" s="246"/>
      <c r="H584" s="246"/>
      <c r="I584" s="250">
        <v>1</v>
      </c>
      <c r="J584" s="108">
        <f>ROUND(E582*F584*I584,4)</f>
        <v>3.8743</v>
      </c>
      <c r="K584" s="108"/>
      <c r="L584" s="108"/>
      <c r="Q584" s="14">
        <v>0</v>
      </c>
      <c r="R584" s="14">
        <v>0</v>
      </c>
      <c r="S584" s="14">
        <v>1120</v>
      </c>
    </row>
    <row r="585" ht="17.25" customHeight="1" spans="1:15">
      <c r="A585" s="241"/>
      <c r="B585" s="47" t="s">
        <v>793</v>
      </c>
      <c r="C585" s="104" t="s">
        <v>794</v>
      </c>
      <c r="D585" s="47" t="s">
        <v>792</v>
      </c>
      <c r="E585" s="108"/>
      <c r="F585" s="246">
        <v>1</v>
      </c>
      <c r="G585" s="246"/>
      <c r="H585" s="246"/>
      <c r="I585" s="250"/>
      <c r="J585" s="108"/>
      <c r="K585" s="108"/>
      <c r="L585" s="108"/>
      <c r="M585" s="14">
        <v>43900</v>
      </c>
      <c r="O585" s="14">
        <v>42617</v>
      </c>
    </row>
    <row r="586" ht="17.25" customHeight="1" spans="1:12">
      <c r="A586" s="241"/>
      <c r="B586" s="47"/>
      <c r="C586" s="242" t="s">
        <v>787</v>
      </c>
      <c r="D586" s="243"/>
      <c r="E586" s="244"/>
      <c r="F586" s="245"/>
      <c r="G586" s="245"/>
      <c r="H586" s="245"/>
      <c r="I586" s="249"/>
      <c r="J586" s="244"/>
      <c r="K586" s="244"/>
      <c r="L586" s="244"/>
    </row>
    <row r="587" ht="17.25" customHeight="1" spans="1:19">
      <c r="A587" s="241"/>
      <c r="B587" s="47" t="s">
        <v>596</v>
      </c>
      <c r="C587" s="104" t="s">
        <v>597</v>
      </c>
      <c r="D587" s="47" t="s">
        <v>594</v>
      </c>
      <c r="E587" s="108"/>
      <c r="F587" s="246"/>
      <c r="G587" s="246">
        <v>2.56</v>
      </c>
      <c r="H587" s="246"/>
      <c r="I587" s="250">
        <v>1</v>
      </c>
      <c r="J587" s="108"/>
      <c r="K587" s="108">
        <f>ROUND(E582*G587*I587,4)</f>
        <v>9.7715</v>
      </c>
      <c r="L587" s="108"/>
      <c r="S587" s="14">
        <v>211</v>
      </c>
    </row>
    <row r="588" ht="17.25" customHeight="1" spans="1:12">
      <c r="A588" s="241"/>
      <c r="B588" s="47"/>
      <c r="C588" s="242" t="s">
        <v>788</v>
      </c>
      <c r="D588" s="243"/>
      <c r="E588" s="244"/>
      <c r="F588" s="245"/>
      <c r="G588" s="245"/>
      <c r="H588" s="245"/>
      <c r="I588" s="249"/>
      <c r="J588" s="244"/>
      <c r="K588" s="244"/>
      <c r="L588" s="244"/>
    </row>
    <row r="589" ht="17.25" customHeight="1" spans="1:19">
      <c r="A589" s="241"/>
      <c r="B589" s="47" t="s">
        <v>660</v>
      </c>
      <c r="C589" s="104" t="s">
        <v>661</v>
      </c>
      <c r="D589" s="47" t="s">
        <v>612</v>
      </c>
      <c r="E589" s="108"/>
      <c r="F589" s="246"/>
      <c r="G589" s="246"/>
      <c r="H589" s="246">
        <v>0.033</v>
      </c>
      <c r="I589" s="250">
        <v>1</v>
      </c>
      <c r="J589" s="108"/>
      <c r="K589" s="108"/>
      <c r="L589" s="108">
        <f>ROUND(E582*H589*I589,4)</f>
        <v>0.126</v>
      </c>
      <c r="S589" s="14">
        <v>3110</v>
      </c>
    </row>
    <row r="590" ht="17.25" customHeight="1" spans="1:19">
      <c r="A590" s="241"/>
      <c r="B590" s="47" t="s">
        <v>633</v>
      </c>
      <c r="C590" s="104" t="s">
        <v>634</v>
      </c>
      <c r="D590" s="47" t="s">
        <v>612</v>
      </c>
      <c r="E590" s="108"/>
      <c r="F590" s="246"/>
      <c r="G590" s="246"/>
      <c r="H590" s="246">
        <v>0.18</v>
      </c>
      <c r="I590" s="250">
        <v>1</v>
      </c>
      <c r="J590" s="108"/>
      <c r="K590" s="108"/>
      <c r="L590" s="108">
        <f>ROUND(E582*H590*I590,4)</f>
        <v>0.6871</v>
      </c>
      <c r="S590" s="14">
        <v>313</v>
      </c>
    </row>
    <row r="591" ht="17.25" customHeight="1" spans="1:16">
      <c r="A591" s="241"/>
      <c r="B591" s="47" t="s">
        <v>790</v>
      </c>
      <c r="C591" s="104" t="s">
        <v>791</v>
      </c>
      <c r="D591" s="47" t="s">
        <v>792</v>
      </c>
      <c r="E591" s="108"/>
      <c r="F591" s="246"/>
      <c r="G591" s="246"/>
      <c r="H591" s="246">
        <v>1</v>
      </c>
      <c r="I591" s="250"/>
      <c r="J591" s="108"/>
      <c r="K591" s="108"/>
      <c r="L591" s="108"/>
      <c r="N591" s="14">
        <v>6109</v>
      </c>
      <c r="P591" s="14">
        <v>6696</v>
      </c>
    </row>
    <row r="592" ht="42.75" customHeight="1" spans="1:12">
      <c r="A592" s="241">
        <v>34</v>
      </c>
      <c r="B592" s="47" t="s">
        <v>489</v>
      </c>
      <c r="C592" s="104" t="s">
        <v>490</v>
      </c>
      <c r="D592" s="47" t="s">
        <v>46</v>
      </c>
      <c r="E592" s="108">
        <v>0</v>
      </c>
      <c r="F592" s="246"/>
      <c r="G592" s="246"/>
      <c r="H592" s="246"/>
      <c r="I592" s="250"/>
      <c r="J592" s="108"/>
      <c r="K592" s="108"/>
      <c r="L592" s="108"/>
    </row>
    <row r="593" ht="17.25" customHeight="1" spans="1:12">
      <c r="A593" s="241"/>
      <c r="B593" s="47"/>
      <c r="C593" s="242" t="s">
        <v>788</v>
      </c>
      <c r="D593" s="243"/>
      <c r="E593" s="244"/>
      <c r="F593" s="245"/>
      <c r="G593" s="245"/>
      <c r="H593" s="245"/>
      <c r="I593" s="249"/>
      <c r="J593" s="244"/>
      <c r="K593" s="244"/>
      <c r="L593" s="244"/>
    </row>
    <row r="594" ht="17.25" customHeight="1" spans="1:19">
      <c r="A594" s="241"/>
      <c r="B594" s="47" t="s">
        <v>648</v>
      </c>
      <c r="C594" s="104" t="s">
        <v>649</v>
      </c>
      <c r="D594" s="47" t="s">
        <v>612</v>
      </c>
      <c r="E594" s="108"/>
      <c r="F594" s="246"/>
      <c r="G594" s="246"/>
      <c r="H594" s="246">
        <v>3.92</v>
      </c>
      <c r="I594" s="250">
        <v>1</v>
      </c>
      <c r="J594" s="108"/>
      <c r="K594" s="108"/>
      <c r="L594" s="108">
        <f>ROUND(E592*H594*I594,4)</f>
        <v>0</v>
      </c>
      <c r="S594" s="14">
        <v>317</v>
      </c>
    </row>
    <row r="595" ht="42.75" customHeight="1" spans="1:12">
      <c r="A595" s="241">
        <v>35</v>
      </c>
      <c r="B595" s="47" t="s">
        <v>492</v>
      </c>
      <c r="C595" s="104" t="s">
        <v>493</v>
      </c>
      <c r="D595" s="47" t="s">
        <v>46</v>
      </c>
      <c r="E595" s="108">
        <v>0</v>
      </c>
      <c r="F595" s="246"/>
      <c r="G595" s="246"/>
      <c r="H595" s="246"/>
      <c r="I595" s="250"/>
      <c r="J595" s="108"/>
      <c r="K595" s="108"/>
      <c r="L595" s="108"/>
    </row>
    <row r="596" ht="17.25" customHeight="1" spans="1:12">
      <c r="A596" s="241"/>
      <c r="B596" s="47"/>
      <c r="C596" s="242" t="s">
        <v>788</v>
      </c>
      <c r="D596" s="243"/>
      <c r="E596" s="244"/>
      <c r="F596" s="245"/>
      <c r="G596" s="245"/>
      <c r="H596" s="245"/>
      <c r="I596" s="249"/>
      <c r="J596" s="244"/>
      <c r="K596" s="244"/>
      <c r="L596" s="244"/>
    </row>
    <row r="597" ht="17.25" customHeight="1" spans="1:19">
      <c r="A597" s="251"/>
      <c r="B597" s="252" t="s">
        <v>648</v>
      </c>
      <c r="C597" s="111" t="s">
        <v>649</v>
      </c>
      <c r="D597" s="252" t="s">
        <v>612</v>
      </c>
      <c r="E597" s="115"/>
      <c r="F597" s="253"/>
      <c r="G597" s="253"/>
      <c r="H597" s="253">
        <v>0.334</v>
      </c>
      <c r="I597" s="255">
        <v>26</v>
      </c>
      <c r="J597" s="115"/>
      <c r="K597" s="115"/>
      <c r="L597" s="115">
        <f>ROUND(E595*H597*I597,4)</f>
        <v>0</v>
      </c>
      <c r="S597" s="14">
        <v>317</v>
      </c>
    </row>
  </sheetData>
  <mergeCells count="24">
    <mergeCell ref="A1:L1"/>
    <mergeCell ref="A2:L2"/>
    <mergeCell ref="M2:P2"/>
    <mergeCell ref="A3:L3"/>
    <mergeCell ref="F4:H4"/>
    <mergeCell ref="J4:L4"/>
    <mergeCell ref="A224:L224"/>
    <mergeCell ref="A225:L225"/>
    <mergeCell ref="M225:P225"/>
    <mergeCell ref="A226:L226"/>
    <mergeCell ref="F227:H227"/>
    <mergeCell ref="J227:L227"/>
    <mergeCell ref="A4:A5"/>
    <mergeCell ref="A227:A228"/>
    <mergeCell ref="B4:B5"/>
    <mergeCell ref="B227:B228"/>
    <mergeCell ref="C4:C5"/>
    <mergeCell ref="C227:C228"/>
    <mergeCell ref="D4:D5"/>
    <mergeCell ref="D227:D228"/>
    <mergeCell ref="E4:E5"/>
    <mergeCell ref="E227:E228"/>
    <mergeCell ref="I4:I5"/>
    <mergeCell ref="I227:I228"/>
  </mergeCells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  <rowBreaks count="1" manualBreakCount="1">
    <brk id="223" max="25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7"/>
  <sheetViews>
    <sheetView showGridLines="0" tabSelected="1" zoomScaleSheetLayoutView="60" workbookViewId="0">
      <selection activeCell="O1" sqref="O1:AS16384"/>
    </sheetView>
  </sheetViews>
  <sheetFormatPr defaultColWidth="10" defaultRowHeight="15" customHeight="1"/>
  <cols>
    <col min="1" max="1" width="8.33333333333333" style="209" customWidth="1"/>
    <col min="2" max="2" width="12.1666666666667" style="209" hidden="1" customWidth="1"/>
    <col min="3" max="3" width="60.1666666666667" style="209" customWidth="1"/>
    <col min="4" max="4" width="10.8333333333333" style="209" customWidth="1"/>
    <col min="5" max="5" width="15.8333333333333" style="209" customWidth="1"/>
    <col min="6" max="8" width="13.3333333333333" style="209" hidden="1" customWidth="1"/>
    <col min="9" max="9" width="14.1666666666667" style="209" customWidth="1"/>
    <col min="10" max="10" width="15.3333333333333" style="209" customWidth="1"/>
    <col min="11" max="13" width="4.83333333333333" style="209" customWidth="1"/>
    <col min="14" max="16384" width="10" style="209"/>
  </cols>
  <sheetData>
    <row r="1" ht="26.25" customHeight="1" spans="1:12">
      <c r="A1" s="210" t="s">
        <v>795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</row>
    <row r="2" ht="23.25" customHeight="1" spans="1:12">
      <c r="A2" s="152" t="s">
        <v>1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</row>
    <row r="3" ht="24" customHeight="1" spans="1:12">
      <c r="A3" s="154" t="s">
        <v>2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</row>
    <row r="4" ht="24" customHeight="1" spans="1:12">
      <c r="A4" s="154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</row>
    <row r="5" ht="24" customHeight="1" spans="1:14">
      <c r="A5" s="154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N5" s="159"/>
    </row>
    <row r="6" ht="24" customHeight="1" spans="1:14">
      <c r="A6" s="154"/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N6" s="159"/>
    </row>
    <row r="7" ht="24" customHeight="1" spans="1:14">
      <c r="A7" s="154"/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N7" s="159"/>
    </row>
    <row r="8" ht="24" customHeight="1" spans="1:14">
      <c r="A8" s="154"/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N8" s="159"/>
    </row>
    <row r="9" ht="24" customHeight="1" spans="1:12">
      <c r="A9" s="154"/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</row>
    <row r="10" ht="26.25" customHeight="1" spans="1:12">
      <c r="A10" s="139" t="s">
        <v>3</v>
      </c>
      <c r="B10" s="139" t="s">
        <v>4</v>
      </c>
      <c r="C10" s="139" t="s">
        <v>796</v>
      </c>
      <c r="D10" s="139" t="s">
        <v>6</v>
      </c>
      <c r="E10" s="139" t="s">
        <v>13</v>
      </c>
      <c r="F10" s="139" t="s">
        <v>31</v>
      </c>
      <c r="G10" s="139" t="s">
        <v>33</v>
      </c>
      <c r="H10" s="139" t="s">
        <v>38</v>
      </c>
      <c r="I10" s="139" t="s">
        <v>14</v>
      </c>
      <c r="J10" s="139" t="s">
        <v>15</v>
      </c>
      <c r="K10" s="139"/>
      <c r="L10" s="139"/>
    </row>
    <row r="11" ht="13.8" spans="1:10">
      <c r="A11" s="212"/>
      <c r="B11" s="213">
        <v>0</v>
      </c>
      <c r="C11" s="214" t="s">
        <v>43</v>
      </c>
      <c r="D11" s="213"/>
      <c r="E11" s="215"/>
      <c r="F11" s="216"/>
      <c r="G11" s="216"/>
      <c r="H11" s="216"/>
      <c r="I11" s="216"/>
      <c r="J11" s="216"/>
    </row>
    <row r="12" ht="27.6" spans="1:14">
      <c r="A12" s="212">
        <v>1</v>
      </c>
      <c r="B12" s="213" t="s">
        <v>44</v>
      </c>
      <c r="C12" s="214" t="s">
        <v>45</v>
      </c>
      <c r="D12" s="213" t="s">
        <v>46</v>
      </c>
      <c r="E12" s="215">
        <v>0.5936</v>
      </c>
      <c r="F12" s="216">
        <v>0</v>
      </c>
      <c r="G12" s="216">
        <v>1256198</v>
      </c>
      <c r="H12" s="216">
        <v>959594</v>
      </c>
      <c r="I12" s="216">
        <v>2717998</v>
      </c>
      <c r="J12" s="216">
        <f>ROUND(E12*I12,0)</f>
        <v>1613404</v>
      </c>
      <c r="N12" s="226"/>
    </row>
    <row r="13" ht="13.8" spans="1:14">
      <c r="A13" s="212">
        <v>2</v>
      </c>
      <c r="B13" s="213" t="s">
        <v>53</v>
      </c>
      <c r="C13" s="214" t="s">
        <v>54</v>
      </c>
      <c r="D13" s="213" t="s">
        <v>55</v>
      </c>
      <c r="E13" s="215">
        <v>10.476</v>
      </c>
      <c r="F13" s="216">
        <v>0</v>
      </c>
      <c r="G13" s="216">
        <v>139806</v>
      </c>
      <c r="H13" s="216">
        <v>0</v>
      </c>
      <c r="I13" s="216">
        <v>171493</v>
      </c>
      <c r="J13" s="216">
        <f>ROUND(E13*I13,0)</f>
        <v>1796561</v>
      </c>
      <c r="N13" s="226"/>
    </row>
    <row r="14" ht="13.8" spans="1:14">
      <c r="A14" s="212"/>
      <c r="B14" s="213">
        <v>0</v>
      </c>
      <c r="C14" s="214" t="s">
        <v>57</v>
      </c>
      <c r="D14" s="213"/>
      <c r="E14" s="215"/>
      <c r="F14" s="216"/>
      <c r="G14" s="216"/>
      <c r="H14" s="216"/>
      <c r="I14" s="216"/>
      <c r="J14" s="216"/>
      <c r="N14" s="226"/>
    </row>
    <row r="15" ht="27.6" spans="1:14">
      <c r="A15" s="212">
        <v>3</v>
      </c>
      <c r="B15" s="213" t="s">
        <v>58</v>
      </c>
      <c r="C15" s="214" t="s">
        <v>59</v>
      </c>
      <c r="D15" s="213" t="s">
        <v>46</v>
      </c>
      <c r="E15" s="215">
        <v>0.5296</v>
      </c>
      <c r="F15" s="216">
        <v>0</v>
      </c>
      <c r="G15" s="216">
        <v>2145627</v>
      </c>
      <c r="H15" s="216">
        <v>1433318</v>
      </c>
      <c r="I15" s="216">
        <v>4390108</v>
      </c>
      <c r="J15" s="216">
        <f t="shared" ref="J15:J38" si="0">ROUND(E15*I15,0)</f>
        <v>2325001</v>
      </c>
      <c r="N15" s="226"/>
    </row>
    <row r="16" ht="27.6" spans="1:14">
      <c r="A16" s="212">
        <v>4</v>
      </c>
      <c r="B16" s="213" t="s">
        <v>70</v>
      </c>
      <c r="C16" s="214" t="s">
        <v>71</v>
      </c>
      <c r="D16" s="213" t="s">
        <v>46</v>
      </c>
      <c r="E16" s="215">
        <v>0.1418</v>
      </c>
      <c r="F16" s="216">
        <v>8995060</v>
      </c>
      <c r="G16" s="216">
        <v>953970</v>
      </c>
      <c r="H16" s="216">
        <v>763615</v>
      </c>
      <c r="I16" s="216">
        <v>13140651</v>
      </c>
      <c r="J16" s="216">
        <f t="shared" si="0"/>
        <v>1863344</v>
      </c>
      <c r="N16" s="226"/>
    </row>
    <row r="17" ht="27.6" spans="1:14">
      <c r="A17" s="212">
        <v>5</v>
      </c>
      <c r="B17" s="213" t="s">
        <v>77</v>
      </c>
      <c r="C17" s="214" t="s">
        <v>78</v>
      </c>
      <c r="D17" s="213" t="s">
        <v>46</v>
      </c>
      <c r="E17" s="215">
        <v>0.1688</v>
      </c>
      <c r="F17" s="216">
        <v>0</v>
      </c>
      <c r="G17" s="216">
        <v>0</v>
      </c>
      <c r="H17" s="216">
        <v>1420603</v>
      </c>
      <c r="I17" s="216">
        <v>1742580</v>
      </c>
      <c r="J17" s="216">
        <f t="shared" si="0"/>
        <v>294148</v>
      </c>
      <c r="N17" s="226"/>
    </row>
    <row r="18" ht="27.6" spans="1:14">
      <c r="A18" s="212">
        <v>6</v>
      </c>
      <c r="B18" s="213" t="s">
        <v>81</v>
      </c>
      <c r="C18" s="214" t="s">
        <v>82</v>
      </c>
      <c r="D18" s="213" t="s">
        <v>46</v>
      </c>
      <c r="E18" s="215">
        <v>0.1688</v>
      </c>
      <c r="F18" s="216">
        <v>0</v>
      </c>
      <c r="G18" s="216">
        <v>0</v>
      </c>
      <c r="H18" s="216">
        <v>2841206</v>
      </c>
      <c r="I18" s="216">
        <v>3485162</v>
      </c>
      <c r="J18" s="216">
        <f t="shared" si="0"/>
        <v>588295</v>
      </c>
      <c r="N18" s="226"/>
    </row>
    <row r="19" ht="27.6" spans="1:14">
      <c r="A19" s="212">
        <v>7</v>
      </c>
      <c r="B19" s="213" t="s">
        <v>84</v>
      </c>
      <c r="C19" s="214" t="s">
        <v>85</v>
      </c>
      <c r="D19" s="213" t="s">
        <v>46</v>
      </c>
      <c r="E19" s="215">
        <v>0.1688</v>
      </c>
      <c r="F19" s="216">
        <v>0</v>
      </c>
      <c r="G19" s="216">
        <v>0</v>
      </c>
      <c r="H19" s="216">
        <v>1756382</v>
      </c>
      <c r="I19" s="216">
        <v>2154463</v>
      </c>
      <c r="J19" s="216">
        <f t="shared" si="0"/>
        <v>363673</v>
      </c>
      <c r="N19" s="226"/>
    </row>
    <row r="20" ht="27.6" spans="1:14">
      <c r="A20" s="212">
        <v>8</v>
      </c>
      <c r="B20" s="213" t="s">
        <v>87</v>
      </c>
      <c r="C20" s="214" t="s">
        <v>88</v>
      </c>
      <c r="D20" s="213" t="s">
        <v>89</v>
      </c>
      <c r="E20" s="215">
        <v>11.304</v>
      </c>
      <c r="F20" s="216">
        <v>1082</v>
      </c>
      <c r="G20" s="216">
        <v>71790</v>
      </c>
      <c r="H20" s="216">
        <v>23474</v>
      </c>
      <c r="I20" s="216">
        <v>118183</v>
      </c>
      <c r="J20" s="216">
        <f t="shared" si="0"/>
        <v>1335941</v>
      </c>
      <c r="N20" s="226"/>
    </row>
    <row r="21" ht="27.6" spans="1:14">
      <c r="A21" s="212">
        <v>9</v>
      </c>
      <c r="B21" s="213" t="s">
        <v>93</v>
      </c>
      <c r="C21" s="214" t="s">
        <v>95</v>
      </c>
      <c r="D21" s="213" t="s">
        <v>55</v>
      </c>
      <c r="E21" s="215">
        <v>2.3606</v>
      </c>
      <c r="F21" s="216">
        <v>580281</v>
      </c>
      <c r="G21" s="216">
        <v>291948</v>
      </c>
      <c r="H21" s="216">
        <v>49454</v>
      </c>
      <c r="I21" s="216">
        <v>1130581</v>
      </c>
      <c r="J21" s="216">
        <f t="shared" si="0"/>
        <v>2668850</v>
      </c>
      <c r="N21" s="226"/>
    </row>
    <row r="22" ht="27.6" spans="1:14">
      <c r="A22" s="212">
        <v>10</v>
      </c>
      <c r="B22" s="213" t="s">
        <v>105</v>
      </c>
      <c r="C22" s="214" t="s">
        <v>106</v>
      </c>
      <c r="D22" s="213" t="s">
        <v>107</v>
      </c>
      <c r="E22" s="215">
        <v>0.2869</v>
      </c>
      <c r="F22" s="216">
        <v>2944150</v>
      </c>
      <c r="G22" s="216">
        <v>3050790</v>
      </c>
      <c r="H22" s="216">
        <v>0</v>
      </c>
      <c r="I22" s="216">
        <v>7353685</v>
      </c>
      <c r="J22" s="216">
        <f t="shared" si="0"/>
        <v>2109772</v>
      </c>
      <c r="N22" s="226"/>
    </row>
    <row r="23" ht="27.6" spans="1:14">
      <c r="A23" s="212">
        <v>11</v>
      </c>
      <c r="B23" s="213" t="s">
        <v>112</v>
      </c>
      <c r="C23" s="214" t="s">
        <v>113</v>
      </c>
      <c r="D23" s="213" t="s">
        <v>114</v>
      </c>
      <c r="E23" s="215">
        <v>0.3328</v>
      </c>
      <c r="F23" s="216">
        <v>13392900</v>
      </c>
      <c r="G23" s="216">
        <v>2537469</v>
      </c>
      <c r="H23" s="216">
        <v>96180</v>
      </c>
      <c r="I23" s="216">
        <v>19658942</v>
      </c>
      <c r="J23" s="216">
        <f t="shared" si="0"/>
        <v>6542496</v>
      </c>
      <c r="N23" s="226"/>
    </row>
    <row r="24" ht="27.6" spans="1:14">
      <c r="A24" s="212">
        <v>12</v>
      </c>
      <c r="B24" s="213" t="s">
        <v>122</v>
      </c>
      <c r="C24" s="214" t="s">
        <v>123</v>
      </c>
      <c r="D24" s="213" t="s">
        <v>114</v>
      </c>
      <c r="E24" s="215">
        <v>0.0559</v>
      </c>
      <c r="F24" s="216">
        <v>13943472</v>
      </c>
      <c r="G24" s="216">
        <v>1869478</v>
      </c>
      <c r="H24" s="216">
        <v>481415</v>
      </c>
      <c r="I24" s="216">
        <v>19987459</v>
      </c>
      <c r="J24" s="216">
        <f t="shared" si="0"/>
        <v>1117299</v>
      </c>
      <c r="N24" s="226"/>
    </row>
    <row r="25" ht="27.6" spans="1:14">
      <c r="A25" s="212">
        <v>13</v>
      </c>
      <c r="B25" s="213" t="s">
        <v>105</v>
      </c>
      <c r="C25" s="214" t="s">
        <v>128</v>
      </c>
      <c r="D25" s="213" t="s">
        <v>107</v>
      </c>
      <c r="E25" s="215">
        <v>0.4582</v>
      </c>
      <c r="F25" s="216">
        <v>2944150</v>
      </c>
      <c r="G25" s="216">
        <v>3050790</v>
      </c>
      <c r="H25" s="216">
        <v>0</v>
      </c>
      <c r="I25" s="216">
        <v>7353685</v>
      </c>
      <c r="J25" s="216">
        <f t="shared" si="0"/>
        <v>3369458</v>
      </c>
      <c r="N25" s="226"/>
    </row>
    <row r="26" ht="27.6" spans="1:14">
      <c r="A26" s="212">
        <v>14</v>
      </c>
      <c r="B26" s="213" t="s">
        <v>112</v>
      </c>
      <c r="C26" s="214" t="s">
        <v>133</v>
      </c>
      <c r="D26" s="213" t="s">
        <v>114</v>
      </c>
      <c r="E26" s="215">
        <v>0.254</v>
      </c>
      <c r="F26" s="216">
        <v>13392900</v>
      </c>
      <c r="G26" s="216">
        <v>2537469</v>
      </c>
      <c r="H26" s="216">
        <v>96180</v>
      </c>
      <c r="I26" s="216">
        <v>19658942</v>
      </c>
      <c r="J26" s="216">
        <f t="shared" si="0"/>
        <v>4993371</v>
      </c>
      <c r="N26" s="226"/>
    </row>
    <row r="27" ht="27.6" spans="1:14">
      <c r="A27" s="212">
        <v>15</v>
      </c>
      <c r="B27" s="213" t="s">
        <v>122</v>
      </c>
      <c r="C27" s="214" t="s">
        <v>141</v>
      </c>
      <c r="D27" s="213" t="s">
        <v>114</v>
      </c>
      <c r="E27" s="215">
        <v>0.3154</v>
      </c>
      <c r="F27" s="216">
        <v>13943472</v>
      </c>
      <c r="G27" s="216">
        <v>1869478</v>
      </c>
      <c r="H27" s="216">
        <v>481415</v>
      </c>
      <c r="I27" s="216">
        <v>19987459</v>
      </c>
      <c r="J27" s="216">
        <f t="shared" si="0"/>
        <v>6304045</v>
      </c>
      <c r="N27" s="226"/>
    </row>
    <row r="28" ht="27.6" spans="1:14">
      <c r="A28" s="212">
        <v>16</v>
      </c>
      <c r="B28" s="213" t="s">
        <v>147</v>
      </c>
      <c r="C28" s="214" t="s">
        <v>148</v>
      </c>
      <c r="D28" s="213" t="s">
        <v>114</v>
      </c>
      <c r="E28" s="215">
        <v>0.4642</v>
      </c>
      <c r="F28" s="216">
        <v>13956540</v>
      </c>
      <c r="G28" s="216">
        <v>1423403</v>
      </c>
      <c r="H28" s="216">
        <v>497113</v>
      </c>
      <c r="I28" s="216">
        <v>19475567</v>
      </c>
      <c r="J28" s="216">
        <f t="shared" si="0"/>
        <v>9040558</v>
      </c>
      <c r="N28" s="226"/>
    </row>
    <row r="29" ht="41.4" spans="1:14">
      <c r="A29" s="212">
        <v>17</v>
      </c>
      <c r="B29" s="213" t="s">
        <v>155</v>
      </c>
      <c r="C29" s="214" t="s">
        <v>157</v>
      </c>
      <c r="D29" s="213" t="s">
        <v>55</v>
      </c>
      <c r="E29" s="215">
        <v>7.189</v>
      </c>
      <c r="F29" s="216">
        <v>1127665</v>
      </c>
      <c r="G29" s="216">
        <v>174757</v>
      </c>
      <c r="H29" s="216">
        <v>155333</v>
      </c>
      <c r="I29" s="216">
        <v>1788153</v>
      </c>
      <c r="J29" s="216">
        <f t="shared" si="0"/>
        <v>12855032</v>
      </c>
      <c r="N29" s="226"/>
    </row>
    <row r="30" ht="41.4" spans="1:14">
      <c r="A30" s="212">
        <v>18</v>
      </c>
      <c r="B30" s="213" t="s">
        <v>155</v>
      </c>
      <c r="C30" s="214" t="s">
        <v>162</v>
      </c>
      <c r="D30" s="213" t="s">
        <v>55</v>
      </c>
      <c r="E30" s="215">
        <v>5.0544</v>
      </c>
      <c r="F30" s="216">
        <v>1127665</v>
      </c>
      <c r="G30" s="216">
        <v>174757</v>
      </c>
      <c r="H30" s="216">
        <v>155333</v>
      </c>
      <c r="I30" s="216">
        <v>1788153</v>
      </c>
      <c r="J30" s="216">
        <f t="shared" si="0"/>
        <v>9038041</v>
      </c>
      <c r="N30" s="226"/>
    </row>
    <row r="31" ht="27.6" spans="1:14">
      <c r="A31" s="212">
        <v>19</v>
      </c>
      <c r="B31" s="213" t="s">
        <v>163</v>
      </c>
      <c r="C31" s="214" t="s">
        <v>165</v>
      </c>
      <c r="D31" s="213" t="s">
        <v>55</v>
      </c>
      <c r="E31" s="215">
        <v>0.7387</v>
      </c>
      <c r="F31" s="216">
        <v>831184</v>
      </c>
      <c r="G31" s="216">
        <v>798002</v>
      </c>
      <c r="H31" s="216">
        <v>114681</v>
      </c>
      <c r="I31" s="216">
        <v>2139112</v>
      </c>
      <c r="J31" s="216">
        <f t="shared" si="0"/>
        <v>1580162</v>
      </c>
      <c r="N31" s="226"/>
    </row>
    <row r="32" ht="41.4" spans="1:14">
      <c r="A32" s="212">
        <v>20</v>
      </c>
      <c r="B32" s="213" t="s">
        <v>169</v>
      </c>
      <c r="C32" s="214" t="s">
        <v>170</v>
      </c>
      <c r="D32" s="213" t="s">
        <v>107</v>
      </c>
      <c r="E32" s="215">
        <v>0.0528</v>
      </c>
      <c r="F32" s="216">
        <v>3199740</v>
      </c>
      <c r="G32" s="216">
        <v>5466009</v>
      </c>
      <c r="H32" s="216">
        <v>100302</v>
      </c>
      <c r="I32" s="216">
        <v>10752863</v>
      </c>
      <c r="J32" s="216">
        <f t="shared" si="0"/>
        <v>567751</v>
      </c>
      <c r="N32" s="226"/>
    </row>
    <row r="33" ht="41.4" spans="1:14">
      <c r="A33" s="212">
        <v>21</v>
      </c>
      <c r="B33" s="213" t="s">
        <v>176</v>
      </c>
      <c r="C33" s="214" t="s">
        <v>177</v>
      </c>
      <c r="D33" s="213" t="s">
        <v>114</v>
      </c>
      <c r="E33" s="215">
        <v>0.0248</v>
      </c>
      <c r="F33" s="216">
        <v>13392900</v>
      </c>
      <c r="G33" s="216">
        <v>3335471</v>
      </c>
      <c r="H33" s="216">
        <v>96180</v>
      </c>
      <c r="I33" s="216">
        <v>20637810</v>
      </c>
      <c r="J33" s="216">
        <f t="shared" si="0"/>
        <v>511818</v>
      </c>
      <c r="N33" s="226"/>
    </row>
    <row r="34" ht="41.4" spans="1:14">
      <c r="A34" s="212">
        <v>22</v>
      </c>
      <c r="B34" s="213" t="s">
        <v>181</v>
      </c>
      <c r="C34" s="214" t="s">
        <v>182</v>
      </c>
      <c r="D34" s="213" t="s">
        <v>114</v>
      </c>
      <c r="E34" s="215">
        <v>0.0184</v>
      </c>
      <c r="F34" s="216">
        <v>13947036</v>
      </c>
      <c r="G34" s="216">
        <v>2246063</v>
      </c>
      <c r="H34" s="216">
        <v>495861</v>
      </c>
      <c r="I34" s="216">
        <v>20471488</v>
      </c>
      <c r="J34" s="216">
        <f t="shared" si="0"/>
        <v>376675</v>
      </c>
      <c r="N34" s="226"/>
    </row>
    <row r="35" ht="41.4" spans="1:14">
      <c r="A35" s="212">
        <v>23</v>
      </c>
      <c r="B35" s="213" t="s">
        <v>187</v>
      </c>
      <c r="C35" s="214" t="s">
        <v>188</v>
      </c>
      <c r="D35" s="213" t="s">
        <v>114</v>
      </c>
      <c r="E35" s="215">
        <v>0.1589</v>
      </c>
      <c r="F35" s="216">
        <v>13974360</v>
      </c>
      <c r="G35" s="216">
        <v>1900860</v>
      </c>
      <c r="H35" s="216">
        <v>576563</v>
      </c>
      <c r="I35" s="216">
        <v>20180555</v>
      </c>
      <c r="J35" s="216">
        <f t="shared" si="0"/>
        <v>3206690</v>
      </c>
      <c r="N35" s="226"/>
    </row>
    <row r="36" ht="27.6" spans="1:14">
      <c r="A36" s="212">
        <v>24</v>
      </c>
      <c r="B36" s="213" t="s">
        <v>193</v>
      </c>
      <c r="C36" s="214" t="s">
        <v>194</v>
      </c>
      <c r="D36" s="213" t="s">
        <v>55</v>
      </c>
      <c r="E36" s="215">
        <v>0.2904</v>
      </c>
      <c r="F36" s="216">
        <v>873620</v>
      </c>
      <c r="G36" s="216">
        <v>1008711</v>
      </c>
      <c r="H36" s="216">
        <v>71413</v>
      </c>
      <c r="I36" s="216">
        <v>2396557</v>
      </c>
      <c r="J36" s="216">
        <f t="shared" si="0"/>
        <v>695960</v>
      </c>
      <c r="N36" s="226"/>
    </row>
    <row r="37" ht="27.6" spans="1:14">
      <c r="A37" s="212">
        <v>25</v>
      </c>
      <c r="B37" s="213" t="s">
        <v>198</v>
      </c>
      <c r="C37" s="214" t="s">
        <v>200</v>
      </c>
      <c r="D37" s="213" t="s">
        <v>55</v>
      </c>
      <c r="E37" s="215">
        <v>0.0702</v>
      </c>
      <c r="F37" s="216">
        <v>846063</v>
      </c>
      <c r="G37" s="216">
        <v>333995</v>
      </c>
      <c r="H37" s="216">
        <v>0</v>
      </c>
      <c r="I37" s="216">
        <v>1447516</v>
      </c>
      <c r="J37" s="216">
        <f t="shared" si="0"/>
        <v>101616</v>
      </c>
      <c r="N37" s="226"/>
    </row>
    <row r="38" ht="27.6" spans="1:14">
      <c r="A38" s="212">
        <v>26</v>
      </c>
      <c r="B38" s="213" t="s">
        <v>203</v>
      </c>
      <c r="C38" s="214" t="s">
        <v>204</v>
      </c>
      <c r="D38" s="213" t="s">
        <v>55</v>
      </c>
      <c r="E38" s="215">
        <v>4.2414</v>
      </c>
      <c r="F38" s="216">
        <v>855923</v>
      </c>
      <c r="G38" s="216">
        <v>374344</v>
      </c>
      <c r="H38" s="216">
        <v>0</v>
      </c>
      <c r="I38" s="216">
        <v>1509105</v>
      </c>
      <c r="J38" s="216">
        <f t="shared" si="0"/>
        <v>6400718</v>
      </c>
      <c r="N38" s="226"/>
    </row>
    <row r="39" customHeight="1" spans="1:14">
      <c r="A39" s="217"/>
      <c r="B39" s="218"/>
      <c r="C39" s="219" t="s">
        <v>797</v>
      </c>
      <c r="D39" s="219"/>
      <c r="E39" s="220"/>
      <c r="F39" s="220"/>
      <c r="G39" s="220"/>
      <c r="H39" s="220"/>
      <c r="I39" s="220"/>
      <c r="J39" s="227">
        <v>81660388</v>
      </c>
      <c r="K39" s="220"/>
      <c r="L39" s="220"/>
      <c r="N39" s="226"/>
    </row>
    <row r="40" ht="30" customHeight="1" spans="1:10">
      <c r="A40" s="221" t="s">
        <v>798</v>
      </c>
      <c r="B40" s="222"/>
      <c r="C40" s="223"/>
      <c r="D40" s="222"/>
      <c r="E40" s="153"/>
      <c r="F40" s="153"/>
      <c r="G40" s="153"/>
      <c r="H40" s="153"/>
      <c r="I40" s="153"/>
      <c r="J40" s="153"/>
    </row>
    <row r="41" ht="26.25" customHeight="1" spans="1:12">
      <c r="A41" s="210" t="str">
        <f>A1</f>
        <v>BẢNG ĐƠN GIÁ DỰ THẦU HẠNG MỤC CÔNG TRÌNH</v>
      </c>
      <c r="B41" s="224"/>
      <c r="C41" s="225"/>
      <c r="D41" s="224"/>
      <c r="E41" s="211"/>
      <c r="F41" s="211"/>
      <c r="G41" s="211"/>
      <c r="H41" s="211"/>
      <c r="I41" s="211"/>
      <c r="J41" s="211"/>
      <c r="K41" s="211"/>
      <c r="L41" s="211"/>
    </row>
    <row r="42" ht="14.25" customHeight="1" spans="1:12">
      <c r="A42" s="152" t="s">
        <v>1</v>
      </c>
      <c r="B42" s="222"/>
      <c r="C42" s="223"/>
      <c r="D42" s="222"/>
      <c r="E42" s="153"/>
      <c r="F42" s="153"/>
      <c r="G42" s="153"/>
      <c r="H42" s="153"/>
      <c r="I42" s="153"/>
      <c r="J42" s="153"/>
      <c r="K42" s="153"/>
      <c r="L42" s="153"/>
    </row>
    <row r="43" ht="14.25" customHeight="1" spans="1:12">
      <c r="A43" s="154" t="s">
        <v>209</v>
      </c>
      <c r="B43" s="222"/>
      <c r="C43" s="223"/>
      <c r="D43" s="222"/>
      <c r="E43" s="153"/>
      <c r="F43" s="153"/>
      <c r="G43" s="153"/>
      <c r="H43" s="153"/>
      <c r="I43" s="153"/>
      <c r="J43" s="153"/>
      <c r="K43" s="153"/>
      <c r="L43" s="153"/>
    </row>
    <row r="44" ht="26.25" customHeight="1" spans="1:12">
      <c r="A44" s="139" t="s">
        <v>3</v>
      </c>
      <c r="B44" s="155" t="s">
        <v>4</v>
      </c>
      <c r="C44" s="155" t="s">
        <v>796</v>
      </c>
      <c r="D44" s="155" t="s">
        <v>6</v>
      </c>
      <c r="E44" s="139" t="s">
        <v>13</v>
      </c>
      <c r="F44" s="139" t="s">
        <v>31</v>
      </c>
      <c r="G44" s="139" t="s">
        <v>33</v>
      </c>
      <c r="H44" s="139" t="s">
        <v>38</v>
      </c>
      <c r="I44" s="139" t="s">
        <v>14</v>
      </c>
      <c r="J44" s="139" t="s">
        <v>15</v>
      </c>
      <c r="K44" s="139">
        <f>K10</f>
        <v>0</v>
      </c>
      <c r="L44" s="139">
        <f>L10</f>
        <v>0</v>
      </c>
    </row>
    <row r="45" ht="16.5" customHeight="1" spans="1:10">
      <c r="A45" s="212"/>
      <c r="B45" s="213">
        <v>0</v>
      </c>
      <c r="C45" s="214" t="s">
        <v>210</v>
      </c>
      <c r="D45" s="213"/>
      <c r="E45" s="215"/>
      <c r="F45" s="216"/>
      <c r="G45" s="216"/>
      <c r="H45" s="216"/>
      <c r="I45" s="216"/>
      <c r="J45" s="216"/>
    </row>
    <row r="46" ht="41.4" spans="1:10">
      <c r="A46" s="212">
        <v>1</v>
      </c>
      <c r="B46" s="213" t="s">
        <v>211</v>
      </c>
      <c r="C46" s="214" t="s">
        <v>212</v>
      </c>
      <c r="D46" s="213" t="s">
        <v>107</v>
      </c>
      <c r="E46" s="215">
        <v>1.1853</v>
      </c>
      <c r="F46" s="216">
        <v>3199740</v>
      </c>
      <c r="G46" s="216">
        <v>6007271</v>
      </c>
      <c r="H46" s="216">
        <v>924031</v>
      </c>
      <c r="I46" s="216">
        <v>12427227</v>
      </c>
      <c r="J46" s="216">
        <f>ROUND(E46*I46,0)</f>
        <v>14729992</v>
      </c>
    </row>
    <row r="47" ht="27.6" spans="1:10">
      <c r="A47" s="212">
        <v>2</v>
      </c>
      <c r="B47" s="213" t="s">
        <v>221</v>
      </c>
      <c r="C47" s="214" t="s">
        <v>222</v>
      </c>
      <c r="D47" s="213" t="s">
        <v>114</v>
      </c>
      <c r="E47" s="215">
        <v>0.1416</v>
      </c>
      <c r="F47" s="216">
        <v>13392900</v>
      </c>
      <c r="G47" s="216">
        <v>3761371</v>
      </c>
      <c r="H47" s="216">
        <v>208988</v>
      </c>
      <c r="I47" s="216">
        <v>21298616</v>
      </c>
      <c r="J47" s="216">
        <f>ROUND(E47*I47,0)</f>
        <v>3015884</v>
      </c>
    </row>
    <row r="48" ht="27.6" spans="1:10">
      <c r="A48" s="212">
        <v>3</v>
      </c>
      <c r="B48" s="213" t="s">
        <v>229</v>
      </c>
      <c r="C48" s="214" t="s">
        <v>230</v>
      </c>
      <c r="D48" s="213" t="s">
        <v>114</v>
      </c>
      <c r="E48" s="215">
        <v>0.978</v>
      </c>
      <c r="F48" s="216">
        <v>13947036</v>
      </c>
      <c r="G48" s="216">
        <v>2512811</v>
      </c>
      <c r="H48" s="216">
        <v>598183</v>
      </c>
      <c r="I48" s="216">
        <v>20924208</v>
      </c>
      <c r="J48" s="216">
        <f>ROUND(E48*I48,0)</f>
        <v>20463875</v>
      </c>
    </row>
    <row r="49" ht="27.6" spans="1:10">
      <c r="A49" s="212">
        <v>4</v>
      </c>
      <c r="B49" s="213" t="s">
        <v>238</v>
      </c>
      <c r="C49" s="214" t="s">
        <v>239</v>
      </c>
      <c r="D49" s="213" t="s">
        <v>114</v>
      </c>
      <c r="E49" s="215">
        <v>0.3108</v>
      </c>
      <c r="F49" s="216">
        <v>13974360</v>
      </c>
      <c r="G49" s="216">
        <v>2183299</v>
      </c>
      <c r="H49" s="216">
        <v>669409</v>
      </c>
      <c r="I49" s="216">
        <v>20640898</v>
      </c>
      <c r="J49" s="216">
        <f>ROUND(E49*I49,0)</f>
        <v>6415191</v>
      </c>
    </row>
    <row r="50" ht="41.4" spans="1:10">
      <c r="A50" s="212">
        <v>5</v>
      </c>
      <c r="B50" s="213" t="s">
        <v>245</v>
      </c>
      <c r="C50" s="214" t="s">
        <v>247</v>
      </c>
      <c r="D50" s="213" t="s">
        <v>55</v>
      </c>
      <c r="E50" s="215">
        <v>6.5196</v>
      </c>
      <c r="F50" s="216">
        <v>1181211</v>
      </c>
      <c r="G50" s="216">
        <v>854042</v>
      </c>
      <c r="H50" s="216">
        <v>220787</v>
      </c>
      <c r="I50" s="216">
        <v>2767368</v>
      </c>
      <c r="J50" s="216">
        <f>ROUND(E50*I50,0)</f>
        <v>18042132</v>
      </c>
    </row>
    <row r="51" ht="13.8" spans="1:10">
      <c r="A51" s="212"/>
      <c r="B51" s="213">
        <v>0</v>
      </c>
      <c r="C51" s="214" t="s">
        <v>251</v>
      </c>
      <c r="D51" s="213"/>
      <c r="E51" s="215"/>
      <c r="F51" s="216"/>
      <c r="G51" s="216"/>
      <c r="H51" s="216"/>
      <c r="I51" s="216"/>
      <c r="J51" s="216"/>
    </row>
    <row r="52" ht="41.4" spans="1:10">
      <c r="A52" s="212">
        <v>6</v>
      </c>
      <c r="B52" s="213" t="s">
        <v>252</v>
      </c>
      <c r="C52" s="214" t="s">
        <v>253</v>
      </c>
      <c r="D52" s="213" t="s">
        <v>107</v>
      </c>
      <c r="E52" s="215">
        <v>1.1537</v>
      </c>
      <c r="F52" s="216">
        <v>4920355</v>
      </c>
      <c r="G52" s="216">
        <v>5737854</v>
      </c>
      <c r="H52" s="216">
        <v>924031</v>
      </c>
      <c r="I52" s="216">
        <v>14207338</v>
      </c>
      <c r="J52" s="216">
        <f t="shared" ref="J52:J67" si="1">ROUND(E52*I52,0)</f>
        <v>16391006</v>
      </c>
    </row>
    <row r="53" ht="41.4" spans="1:10">
      <c r="A53" s="212">
        <v>7</v>
      </c>
      <c r="B53" s="213" t="s">
        <v>252</v>
      </c>
      <c r="C53" s="214" t="s">
        <v>253</v>
      </c>
      <c r="D53" s="213" t="s">
        <v>107</v>
      </c>
      <c r="E53" s="215">
        <v>0.4967</v>
      </c>
      <c r="F53" s="216">
        <v>4920355</v>
      </c>
      <c r="G53" s="216">
        <v>5737854</v>
      </c>
      <c r="H53" s="216">
        <v>924031</v>
      </c>
      <c r="I53" s="216">
        <v>14207338</v>
      </c>
      <c r="J53" s="216">
        <f t="shared" si="1"/>
        <v>7056785</v>
      </c>
    </row>
    <row r="54" ht="41.4" spans="1:10">
      <c r="A54" s="212">
        <v>8</v>
      </c>
      <c r="B54" s="213" t="s">
        <v>288</v>
      </c>
      <c r="C54" s="214" t="s">
        <v>289</v>
      </c>
      <c r="D54" s="213" t="s">
        <v>107</v>
      </c>
      <c r="E54" s="215">
        <v>2.3805</v>
      </c>
      <c r="F54" s="216">
        <v>4639880</v>
      </c>
      <c r="G54" s="216">
        <v>5689137</v>
      </c>
      <c r="H54" s="216">
        <v>924031</v>
      </c>
      <c r="I54" s="216">
        <v>13803535</v>
      </c>
      <c r="J54" s="216">
        <f t="shared" si="1"/>
        <v>32859315</v>
      </c>
    </row>
    <row r="55" ht="41.4" spans="1:10">
      <c r="A55" s="212">
        <v>9</v>
      </c>
      <c r="B55" s="213" t="s">
        <v>304</v>
      </c>
      <c r="C55" s="214" t="s">
        <v>305</v>
      </c>
      <c r="D55" s="213" t="s">
        <v>107</v>
      </c>
      <c r="E55" s="215">
        <v>0.3289</v>
      </c>
      <c r="F55" s="216">
        <v>3775975</v>
      </c>
      <c r="G55" s="216">
        <v>5461155</v>
      </c>
      <c r="H55" s="216">
        <v>924031</v>
      </c>
      <c r="I55" s="216">
        <v>12464173</v>
      </c>
      <c r="J55" s="216">
        <f t="shared" si="1"/>
        <v>4099466</v>
      </c>
    </row>
    <row r="56" ht="41.4" spans="1:10">
      <c r="A56" s="212">
        <v>10</v>
      </c>
      <c r="B56" s="213" t="s">
        <v>313</v>
      </c>
      <c r="C56" s="214" t="s">
        <v>314</v>
      </c>
      <c r="D56" s="213" t="s">
        <v>114</v>
      </c>
      <c r="E56" s="215">
        <v>0.3809</v>
      </c>
      <c r="F56" s="216">
        <v>13392900</v>
      </c>
      <c r="G56" s="216">
        <v>4086400</v>
      </c>
      <c r="H56" s="216">
        <v>208988</v>
      </c>
      <c r="I56" s="216">
        <v>21697312</v>
      </c>
      <c r="J56" s="216">
        <f t="shared" si="1"/>
        <v>8264506</v>
      </c>
    </row>
    <row r="57" ht="41.4" spans="1:10">
      <c r="A57" s="212">
        <v>11</v>
      </c>
      <c r="B57" s="213" t="s">
        <v>342</v>
      </c>
      <c r="C57" s="214" t="s">
        <v>343</v>
      </c>
      <c r="D57" s="213" t="s">
        <v>114</v>
      </c>
      <c r="E57" s="215">
        <v>1.8704</v>
      </c>
      <c r="F57" s="216">
        <v>13944660</v>
      </c>
      <c r="G57" s="216">
        <v>2566609</v>
      </c>
      <c r="H57" s="216">
        <v>588236</v>
      </c>
      <c r="I57" s="216">
        <v>20975083</v>
      </c>
      <c r="J57" s="216">
        <f t="shared" si="1"/>
        <v>39231795</v>
      </c>
    </row>
    <row r="58" ht="41.4" spans="1:10">
      <c r="A58" s="212">
        <v>12</v>
      </c>
      <c r="B58" s="213" t="s">
        <v>373</v>
      </c>
      <c r="C58" s="214" t="s">
        <v>374</v>
      </c>
      <c r="D58" s="213" t="s">
        <v>114</v>
      </c>
      <c r="E58" s="215">
        <v>0</v>
      </c>
      <c r="F58" s="216">
        <v>13971192</v>
      </c>
      <c r="G58" s="216">
        <v>2263996</v>
      </c>
      <c r="H58" s="216">
        <v>656885</v>
      </c>
      <c r="I58" s="216">
        <v>20720636</v>
      </c>
      <c r="J58" s="216">
        <f t="shared" si="1"/>
        <v>0</v>
      </c>
    </row>
    <row r="59" ht="27.6" spans="1:10">
      <c r="A59" s="212">
        <v>13</v>
      </c>
      <c r="B59" s="213" t="s">
        <v>378</v>
      </c>
      <c r="C59" s="214" t="s">
        <v>379</v>
      </c>
      <c r="D59" s="213" t="s">
        <v>114</v>
      </c>
      <c r="E59" s="215">
        <v>2.4207</v>
      </c>
      <c r="F59" s="216">
        <v>13392900</v>
      </c>
      <c r="G59" s="216">
        <v>3608944</v>
      </c>
      <c r="H59" s="216">
        <v>227468</v>
      </c>
      <c r="I59" s="216">
        <v>21134310</v>
      </c>
      <c r="J59" s="216">
        <f t="shared" si="1"/>
        <v>51159824</v>
      </c>
    </row>
    <row r="60" ht="41.4" spans="1:10">
      <c r="A60" s="212">
        <v>14</v>
      </c>
      <c r="B60" s="213" t="s">
        <v>388</v>
      </c>
      <c r="C60" s="214" t="s">
        <v>389</v>
      </c>
      <c r="D60" s="213" t="s">
        <v>114</v>
      </c>
      <c r="E60" s="215">
        <v>0.232</v>
      </c>
      <c r="F60" s="216">
        <v>13392900</v>
      </c>
      <c r="G60" s="216">
        <v>3481174</v>
      </c>
      <c r="H60" s="216">
        <v>201594</v>
      </c>
      <c r="I60" s="216">
        <v>20945843</v>
      </c>
      <c r="J60" s="216">
        <f t="shared" si="1"/>
        <v>4859436</v>
      </c>
    </row>
    <row r="61" ht="41.4" spans="1:10">
      <c r="A61" s="212">
        <v>15</v>
      </c>
      <c r="B61" s="213" t="s">
        <v>394</v>
      </c>
      <c r="C61" s="214" t="s">
        <v>395</v>
      </c>
      <c r="D61" s="213" t="s">
        <v>114</v>
      </c>
      <c r="E61" s="215">
        <v>0.0065</v>
      </c>
      <c r="F61" s="216">
        <v>13943472</v>
      </c>
      <c r="G61" s="216">
        <v>3008200</v>
      </c>
      <c r="H61" s="216">
        <v>583447</v>
      </c>
      <c r="I61" s="216">
        <v>21509428</v>
      </c>
      <c r="J61" s="216">
        <f t="shared" si="1"/>
        <v>139811</v>
      </c>
    </row>
    <row r="62" ht="41.4" spans="1:10">
      <c r="A62" s="212">
        <v>16</v>
      </c>
      <c r="B62" s="213" t="s">
        <v>399</v>
      </c>
      <c r="C62" s="214" t="s">
        <v>400</v>
      </c>
      <c r="D62" s="213" t="s">
        <v>55</v>
      </c>
      <c r="E62" s="215">
        <v>12.6945</v>
      </c>
      <c r="F62" s="216">
        <v>1127665</v>
      </c>
      <c r="G62" s="216">
        <v>573844</v>
      </c>
      <c r="H62" s="216">
        <v>177181</v>
      </c>
      <c r="I62" s="216">
        <v>2304492</v>
      </c>
      <c r="J62" s="216">
        <f t="shared" si="1"/>
        <v>29254374</v>
      </c>
    </row>
    <row r="63" ht="41.4" spans="1:10">
      <c r="A63" s="212">
        <v>17</v>
      </c>
      <c r="B63" s="213" t="s">
        <v>399</v>
      </c>
      <c r="C63" s="214" t="s">
        <v>403</v>
      </c>
      <c r="D63" s="213" t="s">
        <v>55</v>
      </c>
      <c r="E63" s="215">
        <v>30.9134</v>
      </c>
      <c r="F63" s="216">
        <v>1127665</v>
      </c>
      <c r="G63" s="216">
        <v>573844</v>
      </c>
      <c r="H63" s="216">
        <v>177181</v>
      </c>
      <c r="I63" s="216">
        <v>2304492</v>
      </c>
      <c r="J63" s="216">
        <f t="shared" si="1"/>
        <v>71239683</v>
      </c>
    </row>
    <row r="64" ht="41.4" spans="1:10">
      <c r="A64" s="212">
        <v>18</v>
      </c>
      <c r="B64" s="213" t="s">
        <v>404</v>
      </c>
      <c r="C64" s="214" t="s">
        <v>405</v>
      </c>
      <c r="D64" s="213" t="s">
        <v>55</v>
      </c>
      <c r="E64" s="215">
        <v>1.7317</v>
      </c>
      <c r="F64" s="216">
        <v>1245515</v>
      </c>
      <c r="G64" s="216">
        <v>721789</v>
      </c>
      <c r="H64" s="216">
        <v>177181</v>
      </c>
      <c r="I64" s="216">
        <v>2630530</v>
      </c>
      <c r="J64" s="216">
        <f t="shared" si="1"/>
        <v>4555289</v>
      </c>
    </row>
    <row r="65" ht="55.2" spans="1:10">
      <c r="A65" s="212">
        <v>19</v>
      </c>
      <c r="B65" s="213" t="s">
        <v>252</v>
      </c>
      <c r="C65" s="214" t="s">
        <v>408</v>
      </c>
      <c r="D65" s="213" t="s">
        <v>107</v>
      </c>
      <c r="E65" s="215">
        <v>0.0176</v>
      </c>
      <c r="F65" s="216">
        <v>4920355</v>
      </c>
      <c r="G65" s="216">
        <v>5737854</v>
      </c>
      <c r="H65" s="216">
        <v>924031</v>
      </c>
      <c r="I65" s="216">
        <v>14207338</v>
      </c>
      <c r="J65" s="216">
        <f t="shared" si="1"/>
        <v>250049</v>
      </c>
    </row>
    <row r="66" ht="41.4" spans="1:10">
      <c r="A66" s="212">
        <v>20</v>
      </c>
      <c r="B66" s="213" t="s">
        <v>313</v>
      </c>
      <c r="C66" s="214" t="s">
        <v>410</v>
      </c>
      <c r="D66" s="213" t="s">
        <v>114</v>
      </c>
      <c r="E66" s="215">
        <v>0.009</v>
      </c>
      <c r="F66" s="216">
        <v>13392900</v>
      </c>
      <c r="G66" s="216">
        <v>4086400</v>
      </c>
      <c r="H66" s="216">
        <v>208988</v>
      </c>
      <c r="I66" s="216">
        <v>21697312</v>
      </c>
      <c r="J66" s="216">
        <f t="shared" si="1"/>
        <v>195276</v>
      </c>
    </row>
    <row r="67" ht="41.4" spans="1:10">
      <c r="A67" s="212">
        <v>21</v>
      </c>
      <c r="B67" s="213" t="s">
        <v>412</v>
      </c>
      <c r="C67" s="214" t="s">
        <v>414</v>
      </c>
      <c r="D67" s="213" t="s">
        <v>55</v>
      </c>
      <c r="E67" s="215">
        <v>0.1407</v>
      </c>
      <c r="F67" s="216">
        <v>767021</v>
      </c>
      <c r="G67" s="216">
        <v>798002</v>
      </c>
      <c r="H67" s="216">
        <v>114681</v>
      </c>
      <c r="I67" s="216">
        <v>2060407</v>
      </c>
      <c r="J67" s="216">
        <f t="shared" si="1"/>
        <v>289899</v>
      </c>
    </row>
    <row r="68" ht="13.8" spans="1:10">
      <c r="A68" s="212"/>
      <c r="B68" s="213">
        <v>0</v>
      </c>
      <c r="C68" s="214" t="s">
        <v>417</v>
      </c>
      <c r="D68" s="213"/>
      <c r="E68" s="215"/>
      <c r="F68" s="216"/>
      <c r="G68" s="216"/>
      <c r="H68" s="216"/>
      <c r="I68" s="216"/>
      <c r="J68" s="216"/>
    </row>
    <row r="69" ht="27.6" spans="1:10">
      <c r="A69" s="212">
        <v>22</v>
      </c>
      <c r="B69" s="213" t="s">
        <v>418</v>
      </c>
      <c r="C69" s="214" t="s">
        <v>419</v>
      </c>
      <c r="D69" s="213" t="s">
        <v>107</v>
      </c>
      <c r="E69" s="215">
        <v>0.1179</v>
      </c>
      <c r="F69" s="216">
        <v>251692</v>
      </c>
      <c r="G69" s="216">
        <v>5267395</v>
      </c>
      <c r="H69" s="216">
        <v>0</v>
      </c>
      <c r="I69" s="216">
        <v>6769980</v>
      </c>
      <c r="J69" s="216">
        <f t="shared" ref="J69:J77" si="2">ROUND(E69*I69,0)</f>
        <v>798181</v>
      </c>
    </row>
    <row r="70" ht="27.6" spans="1:10">
      <c r="A70" s="212">
        <v>23</v>
      </c>
      <c r="B70" s="213" t="s">
        <v>431</v>
      </c>
      <c r="C70" s="214" t="s">
        <v>432</v>
      </c>
      <c r="D70" s="213" t="s">
        <v>114</v>
      </c>
      <c r="E70" s="215">
        <v>0.0929</v>
      </c>
      <c r="F70" s="216">
        <v>13392900</v>
      </c>
      <c r="G70" s="216">
        <v>4790256</v>
      </c>
      <c r="H70" s="216">
        <v>115416</v>
      </c>
      <c r="I70" s="216">
        <v>22445917</v>
      </c>
      <c r="J70" s="216">
        <f t="shared" si="2"/>
        <v>2085226</v>
      </c>
    </row>
    <row r="71" ht="27.6" spans="1:10">
      <c r="A71" s="212">
        <v>24</v>
      </c>
      <c r="B71" s="213" t="s">
        <v>442</v>
      </c>
      <c r="C71" s="214" t="s">
        <v>443</v>
      </c>
      <c r="D71" s="213" t="s">
        <v>55</v>
      </c>
      <c r="E71" s="215">
        <v>0.6539</v>
      </c>
      <c r="F71" s="216">
        <v>755778</v>
      </c>
      <c r="G71" s="216">
        <v>528384</v>
      </c>
      <c r="H71" s="216">
        <v>28624</v>
      </c>
      <c r="I71" s="216">
        <v>1610327</v>
      </c>
      <c r="J71" s="216">
        <f t="shared" si="2"/>
        <v>1052993</v>
      </c>
    </row>
    <row r="72" ht="27.6" spans="1:10">
      <c r="A72" s="212">
        <v>25</v>
      </c>
      <c r="B72" s="213" t="s">
        <v>447</v>
      </c>
      <c r="C72" s="214" t="s">
        <v>449</v>
      </c>
      <c r="D72" s="213" t="s">
        <v>450</v>
      </c>
      <c r="E72" s="215">
        <v>13</v>
      </c>
      <c r="F72" s="216">
        <v>3974</v>
      </c>
      <c r="G72" s="216">
        <v>60680</v>
      </c>
      <c r="H72" s="216">
        <v>0</v>
      </c>
      <c r="I72" s="216">
        <v>79308</v>
      </c>
      <c r="J72" s="216">
        <f t="shared" si="2"/>
        <v>1031004</v>
      </c>
    </row>
    <row r="73" ht="27.6" spans="1:10">
      <c r="A73" s="212">
        <v>26</v>
      </c>
      <c r="B73" s="213" t="s">
        <v>453</v>
      </c>
      <c r="C73" s="214" t="s">
        <v>454</v>
      </c>
      <c r="D73" s="213" t="s">
        <v>450</v>
      </c>
      <c r="E73" s="215">
        <v>5</v>
      </c>
      <c r="F73" s="216">
        <v>5571</v>
      </c>
      <c r="G73" s="216">
        <v>109223</v>
      </c>
      <c r="H73" s="216">
        <v>0</v>
      </c>
      <c r="I73" s="216">
        <v>140812</v>
      </c>
      <c r="J73" s="216">
        <f t="shared" si="2"/>
        <v>704060</v>
      </c>
    </row>
    <row r="74" ht="27.6" spans="1:10">
      <c r="A74" s="212">
        <v>27</v>
      </c>
      <c r="B74" s="213" t="s">
        <v>457</v>
      </c>
      <c r="C74" s="214" t="s">
        <v>458</v>
      </c>
      <c r="D74" s="213" t="s">
        <v>450</v>
      </c>
      <c r="E74" s="215">
        <v>1</v>
      </c>
      <c r="F74" s="216">
        <v>7948</v>
      </c>
      <c r="G74" s="216">
        <v>206310</v>
      </c>
      <c r="H74" s="216">
        <v>0</v>
      </c>
      <c r="I74" s="216">
        <v>262820</v>
      </c>
      <c r="J74" s="216">
        <f t="shared" si="2"/>
        <v>262820</v>
      </c>
    </row>
    <row r="75" ht="27.6" spans="1:10">
      <c r="A75" s="212">
        <v>28</v>
      </c>
      <c r="B75" s="213" t="s">
        <v>461</v>
      </c>
      <c r="C75" s="214" t="s">
        <v>462</v>
      </c>
      <c r="D75" s="213" t="s">
        <v>107</v>
      </c>
      <c r="E75" s="215">
        <v>0.0077</v>
      </c>
      <c r="F75" s="216">
        <v>3338050</v>
      </c>
      <c r="G75" s="216">
        <v>6910181</v>
      </c>
      <c r="H75" s="216">
        <v>0</v>
      </c>
      <c r="I75" s="216">
        <v>12570977</v>
      </c>
      <c r="J75" s="216">
        <f t="shared" si="2"/>
        <v>96797</v>
      </c>
    </row>
    <row r="76" ht="41.4" spans="1:10">
      <c r="A76" s="212">
        <v>29</v>
      </c>
      <c r="B76" s="213" t="s">
        <v>466</v>
      </c>
      <c r="C76" s="214" t="s">
        <v>467</v>
      </c>
      <c r="D76" s="213" t="s">
        <v>114</v>
      </c>
      <c r="E76" s="215">
        <v>0.0068</v>
      </c>
      <c r="F76" s="216">
        <v>13392900</v>
      </c>
      <c r="G76" s="216">
        <v>5451523</v>
      </c>
      <c r="H76" s="216">
        <v>208988</v>
      </c>
      <c r="I76" s="216">
        <v>23371838</v>
      </c>
      <c r="J76" s="216">
        <f t="shared" si="2"/>
        <v>158928</v>
      </c>
    </row>
    <row r="77" ht="41.4" spans="1:10">
      <c r="A77" s="212">
        <v>30</v>
      </c>
      <c r="B77" s="213" t="s">
        <v>470</v>
      </c>
      <c r="C77" s="214" t="s">
        <v>471</v>
      </c>
      <c r="D77" s="213" t="s">
        <v>55</v>
      </c>
      <c r="E77" s="215">
        <v>0.0302</v>
      </c>
      <c r="F77" s="216">
        <v>767021</v>
      </c>
      <c r="G77" s="216">
        <v>851800</v>
      </c>
      <c r="H77" s="216">
        <v>93049</v>
      </c>
      <c r="I77" s="216">
        <v>2099864</v>
      </c>
      <c r="J77" s="216">
        <f t="shared" si="2"/>
        <v>63416</v>
      </c>
    </row>
    <row r="78" ht="13.8" spans="1:10">
      <c r="A78" s="212"/>
      <c r="B78" s="213">
        <v>0</v>
      </c>
      <c r="C78" s="214" t="s">
        <v>475</v>
      </c>
      <c r="D78" s="213"/>
      <c r="E78" s="215"/>
      <c r="F78" s="216"/>
      <c r="G78" s="216"/>
      <c r="H78" s="216"/>
      <c r="I78" s="216"/>
      <c r="J78" s="216"/>
    </row>
    <row r="79" ht="27.6" spans="1:10">
      <c r="A79" s="212">
        <v>31</v>
      </c>
      <c r="B79" s="213" t="s">
        <v>476</v>
      </c>
      <c r="C79" s="214" t="s">
        <v>477</v>
      </c>
      <c r="D79" s="213" t="s">
        <v>107</v>
      </c>
      <c r="E79" s="215">
        <v>0.3524</v>
      </c>
      <c r="F79" s="216">
        <v>3900620</v>
      </c>
      <c r="G79" s="216">
        <v>11106776</v>
      </c>
      <c r="H79" s="216">
        <v>0</v>
      </c>
      <c r="I79" s="216">
        <v>18408800</v>
      </c>
      <c r="J79" s="216">
        <f>ROUND(E79*I79,0)</f>
        <v>6487261</v>
      </c>
    </row>
    <row r="80" ht="27.6" spans="1:10">
      <c r="A80" s="212">
        <v>32</v>
      </c>
      <c r="B80" s="213" t="s">
        <v>483</v>
      </c>
      <c r="C80" s="214" t="s">
        <v>484</v>
      </c>
      <c r="D80" s="213" t="s">
        <v>114</v>
      </c>
      <c r="E80" s="215">
        <v>0.2776</v>
      </c>
      <c r="F80" s="216">
        <v>13392900</v>
      </c>
      <c r="G80" s="216">
        <v>4563857</v>
      </c>
      <c r="H80" s="216">
        <v>208988</v>
      </c>
      <c r="I80" s="216">
        <v>22282984</v>
      </c>
      <c r="J80" s="216">
        <f>ROUND(E80*I80,0)</f>
        <v>6185756</v>
      </c>
    </row>
    <row r="81" ht="41.4" spans="1:10">
      <c r="A81" s="212">
        <v>33</v>
      </c>
      <c r="B81" s="213" t="s">
        <v>399</v>
      </c>
      <c r="C81" s="214" t="s">
        <v>488</v>
      </c>
      <c r="D81" s="213" t="s">
        <v>55</v>
      </c>
      <c r="E81" s="215">
        <v>3.817</v>
      </c>
      <c r="F81" s="216">
        <v>1127665</v>
      </c>
      <c r="G81" s="216">
        <v>573844</v>
      </c>
      <c r="H81" s="216">
        <v>177181</v>
      </c>
      <c r="I81" s="216">
        <v>2304492</v>
      </c>
      <c r="J81" s="216">
        <f>ROUND(E81*I81,0)</f>
        <v>8796246</v>
      </c>
    </row>
    <row r="82" ht="27.6" hidden="1" spans="1:10">
      <c r="A82" s="212">
        <v>34</v>
      </c>
      <c r="B82" s="213" t="s">
        <v>489</v>
      </c>
      <c r="C82" s="214" t="s">
        <v>490</v>
      </c>
      <c r="D82" s="213" t="s">
        <v>46</v>
      </c>
      <c r="E82" s="215">
        <v>0</v>
      </c>
      <c r="F82" s="216">
        <v>0</v>
      </c>
      <c r="G82" s="216">
        <v>0</v>
      </c>
      <c r="H82" s="216">
        <v>15201834</v>
      </c>
      <c r="I82" s="216">
        <v>18647308</v>
      </c>
      <c r="J82" s="216">
        <f>ROUND(E82*I82,0)</f>
        <v>0</v>
      </c>
    </row>
    <row r="83" ht="27.6" hidden="1" spans="1:10">
      <c r="A83" s="212">
        <v>35</v>
      </c>
      <c r="B83" s="213" t="s">
        <v>492</v>
      </c>
      <c r="C83" s="214" t="s">
        <v>493</v>
      </c>
      <c r="D83" s="213" t="s">
        <v>46</v>
      </c>
      <c r="E83" s="215">
        <v>0</v>
      </c>
      <c r="F83" s="216">
        <v>0</v>
      </c>
      <c r="G83" s="216">
        <v>0</v>
      </c>
      <c r="H83" s="216">
        <v>33676717</v>
      </c>
      <c r="I83" s="216">
        <v>41309495</v>
      </c>
      <c r="J83" s="216">
        <f>ROUND(E83*I83,0)</f>
        <v>0</v>
      </c>
    </row>
    <row r="84" customHeight="1" spans="1:12">
      <c r="A84" s="217"/>
      <c r="B84" s="218"/>
      <c r="C84" s="219" t="s">
        <v>797</v>
      </c>
      <c r="D84" s="219"/>
      <c r="E84" s="220"/>
      <c r="F84" s="220"/>
      <c r="G84" s="220"/>
      <c r="H84" s="220"/>
      <c r="I84" s="220"/>
      <c r="J84" s="227">
        <v>360236059</v>
      </c>
      <c r="K84" s="220"/>
      <c r="L84" s="220"/>
    </row>
    <row r="85" hidden="1" customHeight="1" spans="1:12">
      <c r="A85" s="217"/>
      <c r="B85" s="218"/>
      <c r="C85" s="219" t="s">
        <v>799</v>
      </c>
      <c r="D85" s="219"/>
      <c r="E85" s="220"/>
      <c r="F85" s="220"/>
      <c r="G85" s="220"/>
      <c r="H85" s="220"/>
      <c r="I85" s="220"/>
      <c r="J85" s="227">
        <f>ROUND(J39+J84,0)</f>
        <v>441896447</v>
      </c>
      <c r="K85" s="220"/>
      <c r="L85" s="220"/>
    </row>
    <row r="86" hidden="1" customHeight="1" spans="1:10">
      <c r="A86" s="228"/>
      <c r="B86" s="219"/>
      <c r="C86" s="219" t="s">
        <v>800</v>
      </c>
      <c r="D86" s="219"/>
      <c r="E86" s="220"/>
      <c r="F86" s="220"/>
      <c r="G86" s="220"/>
      <c r="H86" s="220"/>
      <c r="I86" s="220"/>
      <c r="J86" s="227">
        <f>ROUND(J85,-3)</f>
        <v>441896000</v>
      </c>
    </row>
    <row r="87" ht="30" customHeight="1" spans="1:4">
      <c r="A87" s="229" t="s">
        <v>801</v>
      </c>
      <c r="B87" s="218"/>
      <c r="C87" s="230"/>
      <c r="D87" s="218"/>
    </row>
  </sheetData>
  <mergeCells count="8">
    <mergeCell ref="A1:L1"/>
    <mergeCell ref="A2:L2"/>
    <mergeCell ref="A3:L3"/>
    <mergeCell ref="A40:J40"/>
    <mergeCell ref="A41:L41"/>
    <mergeCell ref="A42:L42"/>
    <mergeCell ref="A43:L43"/>
    <mergeCell ref="A87:J87"/>
  </mergeCells>
  <pageMargins left="0.52" right="0" top="0.3" bottom="0.208333333333333" header="0" footer="0.31"/>
  <pageSetup paperSize="9" orientation="portrait" blackAndWhite="1" useFirstPageNumber="1" horizontalDpi="600" verticalDpi="600"/>
  <headerFooter alignWithMargins="0">
    <oddFooter>&amp;C&amp;P</oddFooter>
  </headerFooter>
  <rowBreaks count="1" manualBreakCount="1">
    <brk id="40" max="255" man="1"/>
  </rowBreaks>
  <ignoredErrors>
    <ignoredError sqref="J79:J83 D78:J78 A78 J69:J77 D68:J68 A68 J52:J67 D51:J51 A51 J46:J50 J15:J38 D14:J14 A14 A84:J84 A39:J39 J12:J13" unlockedFormula="1"/>
  </ignoredErrors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57"/>
  <sheetViews>
    <sheetView showGridLines="0" zoomScaleSheetLayoutView="60" workbookViewId="0">
      <selection activeCell="I37" sqref="I1:Q16384"/>
    </sheetView>
  </sheetViews>
  <sheetFormatPr defaultColWidth="10" defaultRowHeight="15" customHeight="1" outlineLevelCol="7"/>
  <cols>
    <col min="1" max="1" width="8.33333333333333" style="159" customWidth="1"/>
    <col min="2" max="2" width="10.8333333333333" style="159" customWidth="1"/>
    <col min="3" max="3" width="53.5" style="159" customWidth="1"/>
    <col min="4" max="4" width="10.8333333333333" style="159" customWidth="1"/>
    <col min="5" max="5" width="14.1666666666667" style="159" customWidth="1"/>
    <col min="6" max="6" width="12.8333333333333" style="159" customWidth="1"/>
    <col min="7" max="7" width="10.1666666666667" style="159" customWidth="1"/>
    <col min="8" max="8" width="15.3333333333333" style="159" customWidth="1"/>
    <col min="9" max="16384" width="10" style="159"/>
  </cols>
  <sheetData>
    <row r="1" ht="26.25" customHeight="1" spans="1:8">
      <c r="A1" s="160" t="s">
        <v>802</v>
      </c>
      <c r="B1" s="161"/>
      <c r="C1" s="161"/>
      <c r="D1" s="161"/>
      <c r="E1" s="161"/>
      <c r="F1" s="161"/>
      <c r="G1" s="161"/>
      <c r="H1" s="161"/>
    </row>
    <row r="2" ht="23.25" customHeight="1" spans="1:8">
      <c r="A2" s="162" t="s">
        <v>1</v>
      </c>
      <c r="B2" s="163"/>
      <c r="C2" s="163"/>
      <c r="D2" s="163"/>
      <c r="E2" s="163"/>
      <c r="F2" s="163"/>
      <c r="G2" s="163"/>
      <c r="H2" s="163"/>
    </row>
    <row r="3" ht="19.5" customHeight="1" spans="1:8">
      <c r="A3" s="164" t="s">
        <v>2</v>
      </c>
      <c r="B3" s="163"/>
      <c r="C3" s="163"/>
      <c r="D3" s="163"/>
      <c r="E3" s="163"/>
      <c r="F3" s="163"/>
      <c r="G3" s="163"/>
      <c r="H3" s="163"/>
    </row>
    <row r="4" ht="19.5" customHeight="1" spans="1:8">
      <c r="A4" s="138"/>
      <c r="B4" s="165"/>
      <c r="C4" s="165"/>
      <c r="D4" s="165"/>
      <c r="E4" s="165"/>
      <c r="F4" s="165"/>
      <c r="G4" s="165"/>
      <c r="H4" s="165"/>
    </row>
    <row r="5" ht="19.5" customHeight="1" spans="1:8">
      <c r="A5" s="138"/>
      <c r="B5" s="165"/>
      <c r="C5" s="165"/>
      <c r="D5" s="165"/>
      <c r="E5" s="165"/>
      <c r="F5" s="165"/>
      <c r="G5" s="165"/>
      <c r="H5" s="165"/>
    </row>
    <row r="6" ht="19.5" customHeight="1" spans="1:8">
      <c r="A6" s="138"/>
      <c r="B6" s="165"/>
      <c r="C6" s="165"/>
      <c r="D6" s="165"/>
      <c r="E6" s="165"/>
      <c r="F6" s="165"/>
      <c r="G6" s="165"/>
      <c r="H6" s="165"/>
    </row>
    <row r="7" ht="19.5" customHeight="1" spans="1:8">
      <c r="A7" s="138"/>
      <c r="B7" s="165"/>
      <c r="C7" s="165"/>
      <c r="D7" s="165"/>
      <c r="E7" s="165"/>
      <c r="F7" s="165"/>
      <c r="G7" s="165"/>
      <c r="H7" s="165"/>
    </row>
    <row r="8" ht="19.5" customHeight="1" spans="1:8">
      <c r="A8" s="138"/>
      <c r="B8" s="165"/>
      <c r="C8" s="165"/>
      <c r="D8" s="165"/>
      <c r="E8" s="165"/>
      <c r="F8" s="165"/>
      <c r="G8" s="165"/>
      <c r="H8" s="165"/>
    </row>
    <row r="9" ht="19.5" customHeight="1" spans="1:8">
      <c r="A9" s="138"/>
      <c r="B9" s="165"/>
      <c r="C9" s="165"/>
      <c r="D9" s="165"/>
      <c r="E9" s="165"/>
      <c r="F9" s="165"/>
      <c r="G9" s="165"/>
      <c r="H9" s="165"/>
    </row>
    <row r="10" ht="26.25" customHeight="1" spans="1:8">
      <c r="A10" s="139" t="s">
        <v>3</v>
      </c>
      <c r="B10" s="139" t="s">
        <v>4</v>
      </c>
      <c r="C10" s="139" t="s">
        <v>803</v>
      </c>
      <c r="D10" s="139" t="s">
        <v>6</v>
      </c>
      <c r="E10" s="139" t="s">
        <v>22</v>
      </c>
      <c r="F10" s="139" t="s">
        <v>14</v>
      </c>
      <c r="G10" s="139" t="s">
        <v>9</v>
      </c>
      <c r="H10" s="139" t="s">
        <v>15</v>
      </c>
    </row>
    <row r="11" ht="42" customHeight="1" spans="1:8">
      <c r="A11" s="166">
        <v>1</v>
      </c>
      <c r="B11" s="167" t="s">
        <v>44</v>
      </c>
      <c r="C11" s="168" t="s">
        <v>45</v>
      </c>
      <c r="D11" s="167" t="s">
        <v>46</v>
      </c>
      <c r="E11" s="169">
        <v>1</v>
      </c>
      <c r="F11" s="170"/>
      <c r="G11" s="166"/>
      <c r="H11" s="170"/>
    </row>
    <row r="12" ht="16.5" customHeight="1" spans="1:8">
      <c r="A12" s="171"/>
      <c r="B12" s="172"/>
      <c r="C12" s="173" t="s">
        <v>787</v>
      </c>
      <c r="D12" s="172"/>
      <c r="E12" s="174"/>
      <c r="F12" s="175"/>
      <c r="G12" s="176"/>
      <c r="H12" s="175">
        <f>ROUND(H13,0)</f>
        <v>1256198</v>
      </c>
    </row>
    <row r="13" ht="16.5" customHeight="1" spans="2:8">
      <c r="B13" s="145" t="s">
        <v>592</v>
      </c>
      <c r="C13" s="146" t="s">
        <v>593</v>
      </c>
      <c r="D13" s="145" t="s">
        <v>594</v>
      </c>
      <c r="E13" s="177">
        <v>6.11</v>
      </c>
      <c r="F13" s="148">
        <v>205597</v>
      </c>
      <c r="G13" s="178">
        <v>1</v>
      </c>
      <c r="H13" s="148">
        <f>ROUND(E13*F13*G13,0)</f>
        <v>1256198</v>
      </c>
    </row>
    <row r="14" ht="16.5" customHeight="1" spans="1:8">
      <c r="A14" s="171"/>
      <c r="B14" s="172"/>
      <c r="C14" s="173" t="s">
        <v>788</v>
      </c>
      <c r="D14" s="172"/>
      <c r="E14" s="174"/>
      <c r="F14" s="175"/>
      <c r="G14" s="176"/>
      <c r="H14" s="175">
        <f>ROUND(H15,0)</f>
        <v>959594</v>
      </c>
    </row>
    <row r="15" ht="16.5" customHeight="1" spans="2:8">
      <c r="B15" s="145" t="s">
        <v>624</v>
      </c>
      <c r="C15" s="146" t="s">
        <v>625</v>
      </c>
      <c r="D15" s="145" t="s">
        <v>612</v>
      </c>
      <c r="E15" s="177">
        <v>0.372</v>
      </c>
      <c r="F15" s="148">
        <v>2579554</v>
      </c>
      <c r="G15" s="178">
        <v>1</v>
      </c>
      <c r="H15" s="148">
        <f>ROUND(E15*F15*G15,0)</f>
        <v>959594</v>
      </c>
    </row>
    <row r="16" ht="27.75" customHeight="1" spans="1:8">
      <c r="A16" s="179"/>
      <c r="B16" s="180"/>
      <c r="C16" s="181" t="s">
        <v>804</v>
      </c>
      <c r="D16" s="180" t="s">
        <v>805</v>
      </c>
      <c r="E16" s="182"/>
      <c r="F16" s="183"/>
      <c r="G16" s="184"/>
      <c r="H16" s="183">
        <f>ROUND(+H12+H14,0)</f>
        <v>2215792</v>
      </c>
    </row>
    <row r="17" ht="16.5" customHeight="1" spans="1:8">
      <c r="A17" s="185"/>
      <c r="B17" s="186"/>
      <c r="C17" s="187" t="s">
        <v>806</v>
      </c>
      <c r="D17" s="186" t="s">
        <v>807</v>
      </c>
      <c r="E17" s="188" t="s">
        <v>808</v>
      </c>
      <c r="F17" s="189"/>
      <c r="G17" s="190"/>
      <c r="H17" s="189">
        <v>126300</v>
      </c>
    </row>
    <row r="18" ht="25.5" customHeight="1" spans="1:8">
      <c r="A18" s="185"/>
      <c r="B18" s="186"/>
      <c r="C18" s="187" t="s">
        <v>809</v>
      </c>
      <c r="D18" s="186" t="s">
        <v>810</v>
      </c>
      <c r="E18" s="188" t="s">
        <v>811</v>
      </c>
      <c r="F18" s="189"/>
      <c r="G18" s="190"/>
      <c r="H18" s="189">
        <v>128815</v>
      </c>
    </row>
    <row r="19" ht="28.5" customHeight="1" spans="1:8">
      <c r="A19" s="191"/>
      <c r="B19" s="192"/>
      <c r="C19" s="193" t="s">
        <v>812</v>
      </c>
      <c r="D19" s="192" t="s">
        <v>813</v>
      </c>
      <c r="E19" s="194"/>
      <c r="F19" s="195"/>
      <c r="G19" s="196"/>
      <c r="H19" s="195">
        <f>ROUND(H16+H17+H18,0)</f>
        <v>2470907</v>
      </c>
    </row>
    <row r="20" ht="25.5" customHeight="1" spans="1:8">
      <c r="A20" s="185"/>
      <c r="B20" s="186"/>
      <c r="C20" s="187" t="s">
        <v>814</v>
      </c>
      <c r="D20" s="186" t="s">
        <v>815</v>
      </c>
      <c r="E20" s="197">
        <v>0.1</v>
      </c>
      <c r="F20" s="189"/>
      <c r="G20" s="190"/>
      <c r="H20" s="189">
        <f>ROUND(E20*H19,0)</f>
        <v>247091</v>
      </c>
    </row>
    <row r="21" ht="30.75" customHeight="1" spans="1:8">
      <c r="A21" s="198"/>
      <c r="B21" s="199"/>
      <c r="C21" s="200" t="s">
        <v>816</v>
      </c>
      <c r="D21" s="199" t="s">
        <v>817</v>
      </c>
      <c r="E21" s="201"/>
      <c r="F21" s="202"/>
      <c r="G21" s="203"/>
      <c r="H21" s="204">
        <f>ROUND(H19+H20,0)</f>
        <v>2717998</v>
      </c>
    </row>
    <row r="22" ht="29.25" customHeight="1" spans="1:8">
      <c r="A22" s="166">
        <v>2</v>
      </c>
      <c r="B22" s="167" t="s">
        <v>53</v>
      </c>
      <c r="C22" s="168" t="s">
        <v>54</v>
      </c>
      <c r="D22" s="167" t="s">
        <v>55</v>
      </c>
      <c r="E22" s="169">
        <v>1</v>
      </c>
      <c r="F22" s="170"/>
      <c r="G22" s="166"/>
      <c r="H22" s="170"/>
    </row>
    <row r="23" ht="16.5" customHeight="1" spans="1:8">
      <c r="A23" s="171"/>
      <c r="B23" s="172"/>
      <c r="C23" s="173" t="s">
        <v>787</v>
      </c>
      <c r="D23" s="172"/>
      <c r="E23" s="174"/>
      <c r="F23" s="175"/>
      <c r="G23" s="176"/>
      <c r="H23" s="175">
        <f>ROUND(H24,0)</f>
        <v>139806</v>
      </c>
    </row>
    <row r="24" ht="16.5" customHeight="1" spans="2:8">
      <c r="B24" s="145" t="s">
        <v>592</v>
      </c>
      <c r="C24" s="146" t="s">
        <v>593</v>
      </c>
      <c r="D24" s="145" t="s">
        <v>594</v>
      </c>
      <c r="E24" s="177">
        <v>0.68</v>
      </c>
      <c r="F24" s="148">
        <v>205597</v>
      </c>
      <c r="G24" s="178">
        <v>1</v>
      </c>
      <c r="H24" s="148">
        <f>ROUND(E24*F24*G24,0)</f>
        <v>139806</v>
      </c>
    </row>
    <row r="25" ht="27.75" customHeight="1" spans="1:8">
      <c r="A25" s="179"/>
      <c r="B25" s="180"/>
      <c r="C25" s="181" t="s">
        <v>804</v>
      </c>
      <c r="D25" s="180" t="s">
        <v>805</v>
      </c>
      <c r="E25" s="182"/>
      <c r="F25" s="183"/>
      <c r="G25" s="184"/>
      <c r="H25" s="183">
        <f>ROUND(+H23,0)</f>
        <v>139806</v>
      </c>
    </row>
    <row r="26" ht="16.5" customHeight="1" spans="1:8">
      <c r="A26" s="185"/>
      <c r="B26" s="186"/>
      <c r="C26" s="187" t="s">
        <v>806</v>
      </c>
      <c r="D26" s="186" t="s">
        <v>807</v>
      </c>
      <c r="E26" s="188" t="s">
        <v>808</v>
      </c>
      <c r="F26" s="189"/>
      <c r="G26" s="190"/>
      <c r="H26" s="189">
        <v>7969</v>
      </c>
    </row>
    <row r="27" ht="25.5" customHeight="1" spans="1:8">
      <c r="A27" s="185"/>
      <c r="B27" s="186"/>
      <c r="C27" s="187" t="s">
        <v>809</v>
      </c>
      <c r="D27" s="186" t="s">
        <v>810</v>
      </c>
      <c r="E27" s="188" t="s">
        <v>811</v>
      </c>
      <c r="F27" s="189"/>
      <c r="G27" s="190"/>
      <c r="H27" s="189">
        <v>8128</v>
      </c>
    </row>
    <row r="28" ht="28.5" customHeight="1" spans="1:8">
      <c r="A28" s="191"/>
      <c r="B28" s="192"/>
      <c r="C28" s="193" t="s">
        <v>812</v>
      </c>
      <c r="D28" s="192" t="s">
        <v>813</v>
      </c>
      <c r="E28" s="194"/>
      <c r="F28" s="195"/>
      <c r="G28" s="196"/>
      <c r="H28" s="195">
        <f>ROUND(H25+H26+H27,0)</f>
        <v>155903</v>
      </c>
    </row>
    <row r="29" ht="25.5" customHeight="1" spans="1:8">
      <c r="A29" s="185"/>
      <c r="B29" s="186"/>
      <c r="C29" s="187" t="s">
        <v>814</v>
      </c>
      <c r="D29" s="186" t="s">
        <v>815</v>
      </c>
      <c r="E29" s="197">
        <v>0.1</v>
      </c>
      <c r="F29" s="189"/>
      <c r="G29" s="190"/>
      <c r="H29" s="189">
        <f>ROUND(E29*H28,0)</f>
        <v>15590</v>
      </c>
    </row>
    <row r="30" ht="30.75" customHeight="1" spans="1:8">
      <c r="A30" s="198"/>
      <c r="B30" s="199"/>
      <c r="C30" s="200" t="s">
        <v>816</v>
      </c>
      <c r="D30" s="199" t="s">
        <v>817</v>
      </c>
      <c r="E30" s="201"/>
      <c r="F30" s="202"/>
      <c r="G30" s="203"/>
      <c r="H30" s="204">
        <f>ROUND(H28+H29,0)</f>
        <v>171493</v>
      </c>
    </row>
    <row r="31" ht="29.25" customHeight="1" spans="1:8">
      <c r="A31" s="166">
        <v>3</v>
      </c>
      <c r="B31" s="167" t="s">
        <v>58</v>
      </c>
      <c r="C31" s="168" t="s">
        <v>59</v>
      </c>
      <c r="D31" s="167" t="s">
        <v>46</v>
      </c>
      <c r="E31" s="169">
        <v>1</v>
      </c>
      <c r="F31" s="170"/>
      <c r="G31" s="166"/>
      <c r="H31" s="170"/>
    </row>
    <row r="32" ht="16.5" customHeight="1" spans="1:8">
      <c r="A32" s="171"/>
      <c r="B32" s="172"/>
      <c r="C32" s="173" t="s">
        <v>787</v>
      </c>
      <c r="D32" s="172"/>
      <c r="E32" s="174"/>
      <c r="F32" s="175"/>
      <c r="G32" s="176"/>
      <c r="H32" s="175">
        <f>ROUND(H33,0)</f>
        <v>2145627</v>
      </c>
    </row>
    <row r="33" ht="16.5" customHeight="1" spans="2:8">
      <c r="B33" s="145" t="s">
        <v>602</v>
      </c>
      <c r="C33" s="146" t="s">
        <v>603</v>
      </c>
      <c r="D33" s="145" t="s">
        <v>594</v>
      </c>
      <c r="E33" s="177">
        <v>8.84</v>
      </c>
      <c r="F33" s="148">
        <v>242718</v>
      </c>
      <c r="G33" s="178">
        <v>1</v>
      </c>
      <c r="H33" s="148">
        <f>ROUND(E33*F33*G33,0)</f>
        <v>2145627</v>
      </c>
    </row>
    <row r="34" ht="16.5" customHeight="1" spans="1:8">
      <c r="A34" s="171"/>
      <c r="B34" s="172"/>
      <c r="C34" s="173" t="s">
        <v>788</v>
      </c>
      <c r="D34" s="172"/>
      <c r="E34" s="174"/>
      <c r="F34" s="175"/>
      <c r="G34" s="176"/>
      <c r="H34" s="175">
        <f>ROUND(H35,0)</f>
        <v>1433318</v>
      </c>
    </row>
    <row r="35" ht="16.5" customHeight="1" spans="2:8">
      <c r="B35" s="145" t="s">
        <v>630</v>
      </c>
      <c r="C35" s="146" t="s">
        <v>631</v>
      </c>
      <c r="D35" s="145" t="s">
        <v>612</v>
      </c>
      <c r="E35" s="177">
        <v>4.42</v>
      </c>
      <c r="F35" s="148">
        <v>324280</v>
      </c>
      <c r="G35" s="178">
        <v>1</v>
      </c>
      <c r="H35" s="148">
        <f>ROUND(E35*F35*G35,0)</f>
        <v>1433318</v>
      </c>
    </row>
    <row r="36" ht="27.75" customHeight="1" spans="1:8">
      <c r="A36" s="179"/>
      <c r="B36" s="180"/>
      <c r="C36" s="181" t="s">
        <v>804</v>
      </c>
      <c r="D36" s="180" t="s">
        <v>805</v>
      </c>
      <c r="E36" s="182"/>
      <c r="F36" s="183"/>
      <c r="G36" s="184"/>
      <c r="H36" s="183">
        <f>ROUND(+H32+H34,0)</f>
        <v>3578945</v>
      </c>
    </row>
    <row r="37" ht="16.5" customHeight="1" spans="1:8">
      <c r="A37" s="185"/>
      <c r="B37" s="186"/>
      <c r="C37" s="187" t="s">
        <v>806</v>
      </c>
      <c r="D37" s="186" t="s">
        <v>807</v>
      </c>
      <c r="E37" s="188" t="s">
        <v>808</v>
      </c>
      <c r="F37" s="189"/>
      <c r="G37" s="190"/>
      <c r="H37" s="189">
        <v>204000</v>
      </c>
    </row>
    <row r="38" ht="25.5" customHeight="1" spans="1:8">
      <c r="A38" s="185"/>
      <c r="B38" s="186"/>
      <c r="C38" s="187" t="s">
        <v>809</v>
      </c>
      <c r="D38" s="186" t="s">
        <v>810</v>
      </c>
      <c r="E38" s="188" t="s">
        <v>811</v>
      </c>
      <c r="F38" s="189"/>
      <c r="G38" s="190"/>
      <c r="H38" s="189">
        <v>208062</v>
      </c>
    </row>
    <row r="39" ht="28.5" customHeight="1" spans="1:8">
      <c r="A39" s="191"/>
      <c r="B39" s="192"/>
      <c r="C39" s="193" t="s">
        <v>812</v>
      </c>
      <c r="D39" s="192" t="s">
        <v>813</v>
      </c>
      <c r="E39" s="194"/>
      <c r="F39" s="195"/>
      <c r="G39" s="196"/>
      <c r="H39" s="195">
        <f>ROUND(H36+H37+H38,0)</f>
        <v>3991007</v>
      </c>
    </row>
    <row r="40" ht="25.5" customHeight="1" spans="1:8">
      <c r="A40" s="185"/>
      <c r="B40" s="186"/>
      <c r="C40" s="187" t="s">
        <v>814</v>
      </c>
      <c r="D40" s="186" t="s">
        <v>815</v>
      </c>
      <c r="E40" s="197">
        <v>0.1</v>
      </c>
      <c r="F40" s="189"/>
      <c r="G40" s="190"/>
      <c r="H40" s="189">
        <f>ROUND(E40*H39,0)</f>
        <v>399101</v>
      </c>
    </row>
    <row r="41" ht="30.75" customHeight="1" spans="1:8">
      <c r="A41" s="198"/>
      <c r="B41" s="199"/>
      <c r="C41" s="200" t="s">
        <v>816</v>
      </c>
      <c r="D41" s="199" t="s">
        <v>817</v>
      </c>
      <c r="E41" s="201"/>
      <c r="F41" s="202"/>
      <c r="G41" s="203"/>
      <c r="H41" s="204">
        <f>ROUND(H39+H40,0)</f>
        <v>4390108</v>
      </c>
    </row>
    <row r="42" ht="29.25" customHeight="1" spans="1:8">
      <c r="A42" s="166">
        <v>4</v>
      </c>
      <c r="B42" s="167" t="s">
        <v>70</v>
      </c>
      <c r="C42" s="168" t="s">
        <v>71</v>
      </c>
      <c r="D42" s="167" t="s">
        <v>46</v>
      </c>
      <c r="E42" s="169">
        <v>1</v>
      </c>
      <c r="F42" s="170"/>
      <c r="G42" s="166"/>
      <c r="H42" s="170"/>
    </row>
    <row r="43" ht="16.5" customHeight="1" spans="1:8">
      <c r="A43" s="171"/>
      <c r="B43" s="172"/>
      <c r="C43" s="173" t="s">
        <v>789</v>
      </c>
      <c r="D43" s="172"/>
      <c r="E43" s="174"/>
      <c r="F43" s="175"/>
      <c r="G43" s="176"/>
      <c r="H43" s="175">
        <f>ROUND(H44,0)</f>
        <v>8995060</v>
      </c>
    </row>
    <row r="44" ht="16.5" customHeight="1" spans="2:8">
      <c r="B44" s="145" t="s">
        <v>506</v>
      </c>
      <c r="C44" s="146" t="s">
        <v>507</v>
      </c>
      <c r="D44" s="145" t="s">
        <v>55</v>
      </c>
      <c r="E44" s="177">
        <v>122</v>
      </c>
      <c r="F44" s="148">
        <v>73730</v>
      </c>
      <c r="G44" s="144"/>
      <c r="H44" s="148">
        <f>ROUND(E44*F44,0)</f>
        <v>8995060</v>
      </c>
    </row>
    <row r="45" ht="16.5" customHeight="1" spans="1:8">
      <c r="A45" s="171"/>
      <c r="B45" s="172"/>
      <c r="C45" s="173" t="s">
        <v>787</v>
      </c>
      <c r="D45" s="172"/>
      <c r="E45" s="174"/>
      <c r="F45" s="175"/>
      <c r="G45" s="176"/>
      <c r="H45" s="175">
        <f>ROUND(H46,0)</f>
        <v>953970</v>
      </c>
    </row>
    <row r="46" ht="16.5" customHeight="1" spans="2:8">
      <c r="B46" s="145" t="s">
        <v>592</v>
      </c>
      <c r="C46" s="146" t="s">
        <v>593</v>
      </c>
      <c r="D46" s="145" t="s">
        <v>594</v>
      </c>
      <c r="E46" s="177">
        <v>4.64</v>
      </c>
      <c r="F46" s="148">
        <v>205597</v>
      </c>
      <c r="G46" s="178">
        <v>1</v>
      </c>
      <c r="H46" s="148">
        <f>ROUND(E46*F46*G46,0)</f>
        <v>953970</v>
      </c>
    </row>
    <row r="47" ht="16.5" customHeight="1" spans="1:8">
      <c r="A47" s="171"/>
      <c r="B47" s="172"/>
      <c r="C47" s="173" t="s">
        <v>788</v>
      </c>
      <c r="D47" s="172"/>
      <c r="E47" s="174"/>
      <c r="F47" s="175"/>
      <c r="G47" s="176"/>
      <c r="H47" s="175">
        <f>ROUND(H50,0)</f>
        <v>763615</v>
      </c>
    </row>
    <row r="48" ht="16.5" customHeight="1" spans="2:8">
      <c r="B48" s="145" t="s">
        <v>630</v>
      </c>
      <c r="C48" s="146" t="s">
        <v>631</v>
      </c>
      <c r="D48" s="145" t="s">
        <v>612</v>
      </c>
      <c r="E48" s="177">
        <v>2.32</v>
      </c>
      <c r="F48" s="148">
        <v>324280</v>
      </c>
      <c r="G48" s="178">
        <v>1</v>
      </c>
      <c r="H48" s="148">
        <f>ROUND(E48*F48*G48,0)</f>
        <v>752330</v>
      </c>
    </row>
    <row r="49" ht="16.5" customHeight="1" spans="2:8">
      <c r="B49" s="145" t="s">
        <v>790</v>
      </c>
      <c r="C49" s="146" t="s">
        <v>791</v>
      </c>
      <c r="D49" s="145" t="s">
        <v>792</v>
      </c>
      <c r="E49" s="177">
        <v>1.5</v>
      </c>
      <c r="F49" s="148">
        <f>ROUND(SUM(H48:H48)/100,0)</f>
        <v>7523</v>
      </c>
      <c r="G49" s="144"/>
      <c r="H49" s="148">
        <f>ROUND(E49*F49,0)</f>
        <v>11285</v>
      </c>
    </row>
    <row r="50" ht="16.5" customHeight="1" spans="2:8">
      <c r="B50" s="145"/>
      <c r="C50" s="146" t="s">
        <v>818</v>
      </c>
      <c r="D50" s="145"/>
      <c r="E50" s="205"/>
      <c r="F50" s="148"/>
      <c r="G50" s="144"/>
      <c r="H50" s="148">
        <f>ROUND(SUM(H48:H49),0)</f>
        <v>763615</v>
      </c>
    </row>
    <row r="51" ht="27.75" customHeight="1" spans="1:8">
      <c r="A51" s="179"/>
      <c r="B51" s="180"/>
      <c r="C51" s="181" t="s">
        <v>804</v>
      </c>
      <c r="D51" s="180" t="s">
        <v>805</v>
      </c>
      <c r="E51" s="182"/>
      <c r="F51" s="183"/>
      <c r="G51" s="184"/>
      <c r="H51" s="183">
        <f>ROUND(H43+H45+H47,0)</f>
        <v>10712645</v>
      </c>
    </row>
    <row r="52" ht="16.5" customHeight="1" spans="1:8">
      <c r="A52" s="185"/>
      <c r="B52" s="186"/>
      <c r="C52" s="187" t="s">
        <v>806</v>
      </c>
      <c r="D52" s="186" t="s">
        <v>807</v>
      </c>
      <c r="E52" s="188" t="s">
        <v>808</v>
      </c>
      <c r="F52" s="189"/>
      <c r="G52" s="190"/>
      <c r="H52" s="189">
        <v>610621</v>
      </c>
    </row>
    <row r="53" ht="25.5" customHeight="1" spans="1:8">
      <c r="A53" s="185"/>
      <c r="B53" s="186"/>
      <c r="C53" s="187" t="s">
        <v>809</v>
      </c>
      <c r="D53" s="186" t="s">
        <v>810</v>
      </c>
      <c r="E53" s="188" t="s">
        <v>811</v>
      </c>
      <c r="F53" s="189"/>
      <c r="G53" s="190"/>
      <c r="H53" s="189">
        <v>622780</v>
      </c>
    </row>
    <row r="54" ht="28.5" customHeight="1" spans="1:8">
      <c r="A54" s="191"/>
      <c r="B54" s="192"/>
      <c r="C54" s="193" t="s">
        <v>812</v>
      </c>
      <c r="D54" s="192" t="s">
        <v>813</v>
      </c>
      <c r="E54" s="194"/>
      <c r="F54" s="195"/>
      <c r="G54" s="196"/>
      <c r="H54" s="195">
        <f>ROUND(H51+H52+H53,0)</f>
        <v>11946046</v>
      </c>
    </row>
    <row r="55" ht="25.5" customHeight="1" spans="1:8">
      <c r="A55" s="185"/>
      <c r="B55" s="186"/>
      <c r="C55" s="187" t="s">
        <v>814</v>
      </c>
      <c r="D55" s="186" t="s">
        <v>815</v>
      </c>
      <c r="E55" s="197">
        <v>0.1</v>
      </c>
      <c r="F55" s="189"/>
      <c r="G55" s="190"/>
      <c r="H55" s="189">
        <f>ROUND(E55*H54,0)</f>
        <v>1194605</v>
      </c>
    </row>
    <row r="56" ht="30.75" customHeight="1" spans="1:8">
      <c r="A56" s="198"/>
      <c r="B56" s="199"/>
      <c r="C56" s="200" t="s">
        <v>816</v>
      </c>
      <c r="D56" s="199" t="s">
        <v>817</v>
      </c>
      <c r="E56" s="201"/>
      <c r="F56" s="202"/>
      <c r="G56" s="203"/>
      <c r="H56" s="204">
        <f>ROUND(H54+H55,0)</f>
        <v>13140651</v>
      </c>
    </row>
    <row r="57" ht="42" customHeight="1" spans="1:8">
      <c r="A57" s="166">
        <v>5</v>
      </c>
      <c r="B57" s="167" t="s">
        <v>77</v>
      </c>
      <c r="C57" s="168" t="s">
        <v>78</v>
      </c>
      <c r="D57" s="167" t="s">
        <v>46</v>
      </c>
      <c r="E57" s="169">
        <v>1</v>
      </c>
      <c r="F57" s="170"/>
      <c r="G57" s="166"/>
      <c r="H57" s="170"/>
    </row>
    <row r="58" ht="16.5" customHeight="1" spans="1:8">
      <c r="A58" s="171"/>
      <c r="B58" s="172"/>
      <c r="C58" s="173" t="s">
        <v>788</v>
      </c>
      <c r="D58" s="172"/>
      <c r="E58" s="174"/>
      <c r="F58" s="175"/>
      <c r="G58" s="176"/>
      <c r="H58" s="175">
        <f>ROUND(H59,0)</f>
        <v>1420603</v>
      </c>
    </row>
    <row r="59" ht="16.5" customHeight="1" spans="2:8">
      <c r="B59" s="145" t="s">
        <v>651</v>
      </c>
      <c r="C59" s="146" t="s">
        <v>652</v>
      </c>
      <c r="D59" s="145" t="s">
        <v>612</v>
      </c>
      <c r="E59" s="177">
        <v>0.77</v>
      </c>
      <c r="F59" s="148">
        <v>1844939</v>
      </c>
      <c r="G59" s="178">
        <v>1</v>
      </c>
      <c r="H59" s="148">
        <f>ROUND(E59*F59*G59,0)</f>
        <v>1420603</v>
      </c>
    </row>
    <row r="60" ht="27.75" customHeight="1" spans="1:8">
      <c r="A60" s="179"/>
      <c r="B60" s="180"/>
      <c r="C60" s="181" t="s">
        <v>804</v>
      </c>
      <c r="D60" s="180" t="s">
        <v>805</v>
      </c>
      <c r="E60" s="182"/>
      <c r="F60" s="183"/>
      <c r="G60" s="184"/>
      <c r="H60" s="183">
        <f>ROUND(+H58,0)</f>
        <v>1420603</v>
      </c>
    </row>
    <row r="61" ht="16.5" customHeight="1" spans="1:8">
      <c r="A61" s="185"/>
      <c r="B61" s="186"/>
      <c r="C61" s="187" t="s">
        <v>806</v>
      </c>
      <c r="D61" s="186" t="s">
        <v>807</v>
      </c>
      <c r="E61" s="188" t="s">
        <v>808</v>
      </c>
      <c r="F61" s="189"/>
      <c r="G61" s="190"/>
      <c r="H61" s="189">
        <v>80974</v>
      </c>
    </row>
    <row r="62" ht="25.5" customHeight="1" spans="1:8">
      <c r="A62" s="185"/>
      <c r="B62" s="186"/>
      <c r="C62" s="187" t="s">
        <v>809</v>
      </c>
      <c r="D62" s="186" t="s">
        <v>810</v>
      </c>
      <c r="E62" s="188" t="s">
        <v>811</v>
      </c>
      <c r="F62" s="189"/>
      <c r="G62" s="190"/>
      <c r="H62" s="189">
        <v>82587</v>
      </c>
    </row>
    <row r="63" ht="28.5" customHeight="1" spans="1:8">
      <c r="A63" s="191"/>
      <c r="B63" s="192"/>
      <c r="C63" s="193" t="s">
        <v>812</v>
      </c>
      <c r="D63" s="192" t="s">
        <v>813</v>
      </c>
      <c r="E63" s="194"/>
      <c r="F63" s="195"/>
      <c r="G63" s="196"/>
      <c r="H63" s="195">
        <f>ROUND(H60+H61+H62,0)</f>
        <v>1584164</v>
      </c>
    </row>
    <row r="64" ht="25.5" customHeight="1" spans="1:8">
      <c r="A64" s="185"/>
      <c r="B64" s="186"/>
      <c r="C64" s="187" t="s">
        <v>814</v>
      </c>
      <c r="D64" s="186" t="s">
        <v>815</v>
      </c>
      <c r="E64" s="197">
        <v>0.1</v>
      </c>
      <c r="F64" s="189"/>
      <c r="G64" s="190"/>
      <c r="H64" s="189">
        <f>ROUND(E64*H63,0)</f>
        <v>158416</v>
      </c>
    </row>
    <row r="65" ht="30.75" customHeight="1" spans="1:8">
      <c r="A65" s="198"/>
      <c r="B65" s="199"/>
      <c r="C65" s="200" t="s">
        <v>816</v>
      </c>
      <c r="D65" s="199" t="s">
        <v>817</v>
      </c>
      <c r="E65" s="201"/>
      <c r="F65" s="202"/>
      <c r="G65" s="203"/>
      <c r="H65" s="204">
        <f>ROUND(H63+H64,0)</f>
        <v>1742580</v>
      </c>
    </row>
    <row r="66" ht="29.25" customHeight="1" spans="1:8">
      <c r="A66" s="166">
        <v>6</v>
      </c>
      <c r="B66" s="167" t="s">
        <v>81</v>
      </c>
      <c r="C66" s="168" t="s">
        <v>82</v>
      </c>
      <c r="D66" s="167" t="s">
        <v>46</v>
      </c>
      <c r="E66" s="169">
        <v>1</v>
      </c>
      <c r="F66" s="170"/>
      <c r="G66" s="166"/>
      <c r="H66" s="170"/>
    </row>
    <row r="67" ht="16.5" customHeight="1" spans="1:8">
      <c r="A67" s="171"/>
      <c r="B67" s="172"/>
      <c r="C67" s="173" t="s">
        <v>788</v>
      </c>
      <c r="D67" s="172"/>
      <c r="E67" s="174"/>
      <c r="F67" s="175"/>
      <c r="G67" s="176"/>
      <c r="H67" s="175">
        <f>ROUND(H68,0)</f>
        <v>2841206</v>
      </c>
    </row>
    <row r="68" ht="16.5" customHeight="1" spans="2:8">
      <c r="B68" s="145" t="s">
        <v>651</v>
      </c>
      <c r="C68" s="146" t="s">
        <v>652</v>
      </c>
      <c r="D68" s="145" t="s">
        <v>612</v>
      </c>
      <c r="E68" s="177">
        <v>0.22</v>
      </c>
      <c r="F68" s="148">
        <v>1844939</v>
      </c>
      <c r="G68" s="178">
        <v>7</v>
      </c>
      <c r="H68" s="148">
        <f>ROUND(E68*F68*G68,0)</f>
        <v>2841206</v>
      </c>
    </row>
    <row r="69" ht="27.75" customHeight="1" spans="1:8">
      <c r="A69" s="179"/>
      <c r="B69" s="180"/>
      <c r="C69" s="181" t="s">
        <v>804</v>
      </c>
      <c r="D69" s="180" t="s">
        <v>805</v>
      </c>
      <c r="E69" s="182"/>
      <c r="F69" s="183"/>
      <c r="G69" s="184"/>
      <c r="H69" s="183">
        <f>ROUND(+H67,0)</f>
        <v>2841206</v>
      </c>
    </row>
    <row r="70" ht="16.5" customHeight="1" spans="1:8">
      <c r="A70" s="185"/>
      <c r="B70" s="186"/>
      <c r="C70" s="187" t="s">
        <v>806</v>
      </c>
      <c r="D70" s="186" t="s">
        <v>807</v>
      </c>
      <c r="E70" s="188" t="s">
        <v>808</v>
      </c>
      <c r="F70" s="189"/>
      <c r="G70" s="190"/>
      <c r="H70" s="189">
        <v>161949</v>
      </c>
    </row>
    <row r="71" ht="25.5" customHeight="1" spans="1:8">
      <c r="A71" s="185"/>
      <c r="B71" s="186"/>
      <c r="C71" s="187" t="s">
        <v>809</v>
      </c>
      <c r="D71" s="186" t="s">
        <v>810</v>
      </c>
      <c r="E71" s="188" t="s">
        <v>811</v>
      </c>
      <c r="F71" s="189"/>
      <c r="G71" s="190"/>
      <c r="H71" s="189">
        <v>165174</v>
      </c>
    </row>
    <row r="72" ht="28.5" customHeight="1" spans="1:8">
      <c r="A72" s="191"/>
      <c r="B72" s="192"/>
      <c r="C72" s="193" t="s">
        <v>812</v>
      </c>
      <c r="D72" s="192" t="s">
        <v>813</v>
      </c>
      <c r="E72" s="194"/>
      <c r="F72" s="195"/>
      <c r="G72" s="196"/>
      <c r="H72" s="195">
        <f>ROUND(H69+H70+H71,0)</f>
        <v>3168329</v>
      </c>
    </row>
    <row r="73" ht="25.5" customHeight="1" spans="1:8">
      <c r="A73" s="185"/>
      <c r="B73" s="186"/>
      <c r="C73" s="187" t="s">
        <v>814</v>
      </c>
      <c r="D73" s="186" t="s">
        <v>815</v>
      </c>
      <c r="E73" s="197">
        <v>0.1</v>
      </c>
      <c r="F73" s="189"/>
      <c r="G73" s="190"/>
      <c r="H73" s="189">
        <f>ROUND(E73*H72,0)</f>
        <v>316833</v>
      </c>
    </row>
    <row r="74" ht="30.75" customHeight="1" spans="1:8">
      <c r="A74" s="198"/>
      <c r="B74" s="199"/>
      <c r="C74" s="200" t="s">
        <v>816</v>
      </c>
      <c r="D74" s="199" t="s">
        <v>817</v>
      </c>
      <c r="E74" s="201"/>
      <c r="F74" s="202"/>
      <c r="G74" s="203"/>
      <c r="H74" s="204">
        <f>ROUND(H72+H73,0)</f>
        <v>3485162</v>
      </c>
    </row>
    <row r="75" ht="29.25" customHeight="1" spans="1:8">
      <c r="A75" s="166">
        <v>7</v>
      </c>
      <c r="B75" s="167" t="s">
        <v>84</v>
      </c>
      <c r="C75" s="168" t="s">
        <v>85</v>
      </c>
      <c r="D75" s="167" t="s">
        <v>46</v>
      </c>
      <c r="E75" s="169">
        <v>1</v>
      </c>
      <c r="F75" s="170"/>
      <c r="G75" s="166"/>
      <c r="H75" s="170"/>
    </row>
    <row r="76" ht="16.5" customHeight="1" spans="1:8">
      <c r="A76" s="171"/>
      <c r="B76" s="172"/>
      <c r="C76" s="173" t="s">
        <v>788</v>
      </c>
      <c r="D76" s="172"/>
      <c r="E76" s="174"/>
      <c r="F76" s="175"/>
      <c r="G76" s="176"/>
      <c r="H76" s="175">
        <f>ROUND(H77,0)</f>
        <v>1756382</v>
      </c>
    </row>
    <row r="77" ht="16.5" customHeight="1" spans="2:8">
      <c r="B77" s="145" t="s">
        <v>651</v>
      </c>
      <c r="C77" s="146" t="s">
        <v>652</v>
      </c>
      <c r="D77" s="145" t="s">
        <v>612</v>
      </c>
      <c r="E77" s="177">
        <v>0.136</v>
      </c>
      <c r="F77" s="148">
        <v>1844939</v>
      </c>
      <c r="G77" s="178">
        <v>7</v>
      </c>
      <c r="H77" s="148">
        <f>ROUND(E77*F77*G77,0)</f>
        <v>1756382</v>
      </c>
    </row>
    <row r="78" ht="27.75" customHeight="1" spans="1:8">
      <c r="A78" s="179"/>
      <c r="B78" s="180"/>
      <c r="C78" s="181" t="s">
        <v>804</v>
      </c>
      <c r="D78" s="180" t="s">
        <v>805</v>
      </c>
      <c r="E78" s="182"/>
      <c r="F78" s="183"/>
      <c r="G78" s="184"/>
      <c r="H78" s="183">
        <f>ROUND(+H76,0)</f>
        <v>1756382</v>
      </c>
    </row>
    <row r="79" ht="16.5" customHeight="1" spans="1:8">
      <c r="A79" s="185"/>
      <c r="B79" s="186"/>
      <c r="C79" s="187" t="s">
        <v>806</v>
      </c>
      <c r="D79" s="186" t="s">
        <v>807</v>
      </c>
      <c r="E79" s="188" t="s">
        <v>808</v>
      </c>
      <c r="F79" s="189"/>
      <c r="G79" s="190"/>
      <c r="H79" s="189">
        <v>100114</v>
      </c>
    </row>
    <row r="80" ht="25.5" customHeight="1" spans="1:8">
      <c r="A80" s="185"/>
      <c r="B80" s="186"/>
      <c r="C80" s="187" t="s">
        <v>809</v>
      </c>
      <c r="D80" s="186" t="s">
        <v>810</v>
      </c>
      <c r="E80" s="188" t="s">
        <v>811</v>
      </c>
      <c r="F80" s="189"/>
      <c r="G80" s="190"/>
      <c r="H80" s="189">
        <v>102107</v>
      </c>
    </row>
    <row r="81" ht="28.5" customHeight="1" spans="1:8">
      <c r="A81" s="191"/>
      <c r="B81" s="192"/>
      <c r="C81" s="193" t="s">
        <v>812</v>
      </c>
      <c r="D81" s="192" t="s">
        <v>813</v>
      </c>
      <c r="E81" s="194"/>
      <c r="F81" s="195"/>
      <c r="G81" s="196"/>
      <c r="H81" s="195">
        <f>ROUND(H78+H79+H80,0)</f>
        <v>1958603</v>
      </c>
    </row>
    <row r="82" ht="25.5" customHeight="1" spans="1:8">
      <c r="A82" s="185"/>
      <c r="B82" s="186"/>
      <c r="C82" s="187" t="s">
        <v>814</v>
      </c>
      <c r="D82" s="186" t="s">
        <v>815</v>
      </c>
      <c r="E82" s="197">
        <v>0.1</v>
      </c>
      <c r="F82" s="189"/>
      <c r="G82" s="190"/>
      <c r="H82" s="189">
        <f>ROUND(E82*H81,0)</f>
        <v>195860</v>
      </c>
    </row>
    <row r="83" ht="30.75" customHeight="1" spans="1:8">
      <c r="A83" s="198"/>
      <c r="B83" s="199"/>
      <c r="C83" s="200" t="s">
        <v>816</v>
      </c>
      <c r="D83" s="199" t="s">
        <v>817</v>
      </c>
      <c r="E83" s="201"/>
      <c r="F83" s="202"/>
      <c r="G83" s="203"/>
      <c r="H83" s="204">
        <f>ROUND(H81+H82,0)</f>
        <v>2154463</v>
      </c>
    </row>
    <row r="84" ht="29.25" customHeight="1" spans="1:8">
      <c r="A84" s="166">
        <v>8</v>
      </c>
      <c r="B84" s="167" t="s">
        <v>87</v>
      </c>
      <c r="C84" s="168" t="s">
        <v>88</v>
      </c>
      <c r="D84" s="167" t="s">
        <v>89</v>
      </c>
      <c r="E84" s="169">
        <v>1</v>
      </c>
      <c r="F84" s="170"/>
      <c r="G84" s="166"/>
      <c r="H84" s="170"/>
    </row>
    <row r="85" ht="16.5" customHeight="1" spans="1:8">
      <c r="A85" s="171"/>
      <c r="B85" s="172"/>
      <c r="C85" s="173" t="s">
        <v>789</v>
      </c>
      <c r="D85" s="172"/>
      <c r="E85" s="174"/>
      <c r="F85" s="175"/>
      <c r="G85" s="176"/>
      <c r="H85" s="175">
        <f>ROUND(H89,0)</f>
        <v>1082</v>
      </c>
    </row>
    <row r="86" ht="16.5" customHeight="1" spans="2:8">
      <c r="B86" s="145" t="s">
        <v>524</v>
      </c>
      <c r="C86" s="146" t="s">
        <v>525</v>
      </c>
      <c r="D86" s="145" t="s">
        <v>526</v>
      </c>
      <c r="E86" s="177">
        <v>0.049</v>
      </c>
      <c r="F86" s="148">
        <v>15500</v>
      </c>
      <c r="G86" s="144"/>
      <c r="H86" s="148">
        <f>ROUND(E86*F86,0)</f>
        <v>760</v>
      </c>
    </row>
    <row r="87" ht="16.5" customHeight="1" spans="2:8">
      <c r="B87" s="145" t="s">
        <v>533</v>
      </c>
      <c r="C87" s="146" t="s">
        <v>534</v>
      </c>
      <c r="D87" s="145" t="s">
        <v>526</v>
      </c>
      <c r="E87" s="177">
        <v>0.02</v>
      </c>
      <c r="F87" s="148">
        <v>15000</v>
      </c>
      <c r="G87" s="144"/>
      <c r="H87" s="148">
        <f>ROUND(E87*F87,0)</f>
        <v>300</v>
      </c>
    </row>
    <row r="88" ht="16.5" customHeight="1" spans="2:8">
      <c r="B88" s="145" t="s">
        <v>793</v>
      </c>
      <c r="C88" s="146" t="s">
        <v>794</v>
      </c>
      <c r="D88" s="145" t="s">
        <v>792</v>
      </c>
      <c r="E88" s="177">
        <v>2</v>
      </c>
      <c r="F88" s="148">
        <f>ROUND(SUM(H86:H87)/100,0)</f>
        <v>11</v>
      </c>
      <c r="G88" s="144"/>
      <c r="H88" s="148">
        <f>ROUND(E88*F88,0)</f>
        <v>22</v>
      </c>
    </row>
    <row r="89" ht="16.5" customHeight="1" spans="2:8">
      <c r="B89" s="145"/>
      <c r="C89" s="146" t="s">
        <v>818</v>
      </c>
      <c r="D89" s="145"/>
      <c r="E89" s="205"/>
      <c r="F89" s="148"/>
      <c r="G89" s="144"/>
      <c r="H89" s="148">
        <f>ROUND(SUM(H86:H88),0)</f>
        <v>1082</v>
      </c>
    </row>
    <row r="90" ht="16.5" customHeight="1" spans="1:8">
      <c r="A90" s="171"/>
      <c r="B90" s="172"/>
      <c r="C90" s="173" t="s">
        <v>787</v>
      </c>
      <c r="D90" s="172"/>
      <c r="E90" s="174"/>
      <c r="F90" s="175"/>
      <c r="G90" s="176"/>
      <c r="H90" s="175">
        <f>ROUND(H91,0)</f>
        <v>71790</v>
      </c>
    </row>
    <row r="91" ht="16.5" customHeight="1" spans="2:8">
      <c r="B91" s="145" t="s">
        <v>599</v>
      </c>
      <c r="C91" s="146" t="s">
        <v>600</v>
      </c>
      <c r="D91" s="145" t="s">
        <v>594</v>
      </c>
      <c r="E91" s="177">
        <v>0.31</v>
      </c>
      <c r="F91" s="148">
        <v>231582</v>
      </c>
      <c r="G91" s="178">
        <v>1</v>
      </c>
      <c r="H91" s="148">
        <f>ROUND(E91*F91*G91,0)</f>
        <v>71790</v>
      </c>
    </row>
    <row r="92" ht="16.5" customHeight="1" spans="1:8">
      <c r="A92" s="171"/>
      <c r="B92" s="172"/>
      <c r="C92" s="173" t="s">
        <v>788</v>
      </c>
      <c r="D92" s="172"/>
      <c r="E92" s="174"/>
      <c r="F92" s="175"/>
      <c r="G92" s="176"/>
      <c r="H92" s="175">
        <f>ROUND(H96,0)</f>
        <v>23474</v>
      </c>
    </row>
    <row r="93" ht="16.5" customHeight="1" spans="2:8">
      <c r="B93" s="145" t="s">
        <v>617</v>
      </c>
      <c r="C93" s="146" t="s">
        <v>618</v>
      </c>
      <c r="D93" s="145" t="s">
        <v>619</v>
      </c>
      <c r="E93" s="177">
        <v>0.067</v>
      </c>
      <c r="F93" s="148">
        <v>238130</v>
      </c>
      <c r="G93" s="178">
        <v>1</v>
      </c>
      <c r="H93" s="148">
        <f>ROUND(E93*F93*G93,0)</f>
        <v>15955</v>
      </c>
    </row>
    <row r="94" ht="16.5" customHeight="1" spans="2:8">
      <c r="B94" s="145" t="s">
        <v>639</v>
      </c>
      <c r="C94" s="146" t="s">
        <v>640</v>
      </c>
      <c r="D94" s="145" t="s">
        <v>619</v>
      </c>
      <c r="E94" s="177">
        <v>0.03</v>
      </c>
      <c r="F94" s="148">
        <v>213286</v>
      </c>
      <c r="G94" s="178">
        <v>1</v>
      </c>
      <c r="H94" s="148">
        <f>ROUND(E94*F94*G94,0)</f>
        <v>6399</v>
      </c>
    </row>
    <row r="95" ht="16.5" customHeight="1" spans="2:8">
      <c r="B95" s="145" t="s">
        <v>790</v>
      </c>
      <c r="C95" s="146" t="s">
        <v>791</v>
      </c>
      <c r="D95" s="145" t="s">
        <v>792</v>
      </c>
      <c r="E95" s="177">
        <v>5</v>
      </c>
      <c r="F95" s="148">
        <f>ROUND(SUM(H93:H94)/100,0)</f>
        <v>224</v>
      </c>
      <c r="G95" s="144"/>
      <c r="H95" s="148">
        <f>ROUND(E95*F95,0)</f>
        <v>1120</v>
      </c>
    </row>
    <row r="96" ht="16.5" customHeight="1" spans="2:8">
      <c r="B96" s="145"/>
      <c r="C96" s="146" t="s">
        <v>818</v>
      </c>
      <c r="D96" s="145"/>
      <c r="E96" s="205"/>
      <c r="F96" s="148"/>
      <c r="G96" s="144"/>
      <c r="H96" s="148">
        <f>ROUND(SUM(H93:H95),0)</f>
        <v>23474</v>
      </c>
    </row>
    <row r="97" ht="27.75" customHeight="1" spans="1:8">
      <c r="A97" s="179"/>
      <c r="B97" s="180"/>
      <c r="C97" s="181" t="s">
        <v>804</v>
      </c>
      <c r="D97" s="180" t="s">
        <v>805</v>
      </c>
      <c r="E97" s="182"/>
      <c r="F97" s="183"/>
      <c r="G97" s="184"/>
      <c r="H97" s="183">
        <f>ROUND(H85+H90+H92,0)</f>
        <v>96346</v>
      </c>
    </row>
    <row r="98" ht="16.5" customHeight="1" spans="1:8">
      <c r="A98" s="185"/>
      <c r="B98" s="186"/>
      <c r="C98" s="187" t="s">
        <v>806</v>
      </c>
      <c r="D98" s="186" t="s">
        <v>807</v>
      </c>
      <c r="E98" s="188" t="s">
        <v>808</v>
      </c>
      <c r="F98" s="189"/>
      <c r="G98" s="190"/>
      <c r="H98" s="189">
        <v>5492</v>
      </c>
    </row>
    <row r="99" ht="25.5" customHeight="1" spans="1:8">
      <c r="A99" s="185"/>
      <c r="B99" s="186"/>
      <c r="C99" s="187" t="s">
        <v>809</v>
      </c>
      <c r="D99" s="186" t="s">
        <v>810</v>
      </c>
      <c r="E99" s="188" t="s">
        <v>811</v>
      </c>
      <c r="F99" s="189"/>
      <c r="G99" s="190"/>
      <c r="H99" s="189">
        <v>5601</v>
      </c>
    </row>
    <row r="100" ht="28.5" customHeight="1" spans="1:8">
      <c r="A100" s="191"/>
      <c r="B100" s="192"/>
      <c r="C100" s="193" t="s">
        <v>812</v>
      </c>
      <c r="D100" s="192" t="s">
        <v>813</v>
      </c>
      <c r="E100" s="194"/>
      <c r="F100" s="195"/>
      <c r="G100" s="196"/>
      <c r="H100" s="195">
        <f>ROUND(H97+H98+H99,0)</f>
        <v>107439</v>
      </c>
    </row>
    <row r="101" ht="25.5" customHeight="1" spans="1:8">
      <c r="A101" s="185"/>
      <c r="B101" s="186"/>
      <c r="C101" s="187" t="s">
        <v>814</v>
      </c>
      <c r="D101" s="186" t="s">
        <v>815</v>
      </c>
      <c r="E101" s="197">
        <v>0.1</v>
      </c>
      <c r="F101" s="189"/>
      <c r="G101" s="190"/>
      <c r="H101" s="189">
        <f>ROUND(E101*H100,0)</f>
        <v>10744</v>
      </c>
    </row>
    <row r="102" ht="30.75" customHeight="1" spans="1:8">
      <c r="A102" s="198"/>
      <c r="B102" s="199"/>
      <c r="C102" s="200" t="s">
        <v>816</v>
      </c>
      <c r="D102" s="199" t="s">
        <v>817</v>
      </c>
      <c r="E102" s="201"/>
      <c r="F102" s="202"/>
      <c r="G102" s="203"/>
      <c r="H102" s="204">
        <f>ROUND(H100+H101,0)</f>
        <v>118183</v>
      </c>
    </row>
    <row r="103" ht="54.75" customHeight="1" spans="1:8">
      <c r="A103" s="166">
        <v>9</v>
      </c>
      <c r="B103" s="167" t="s">
        <v>93</v>
      </c>
      <c r="C103" s="168" t="s">
        <v>95</v>
      </c>
      <c r="D103" s="167" t="s">
        <v>55</v>
      </c>
      <c r="E103" s="169">
        <v>1</v>
      </c>
      <c r="F103" s="170"/>
      <c r="G103" s="166"/>
      <c r="H103" s="170"/>
    </row>
    <row r="104" ht="16.5" customHeight="1" spans="1:8">
      <c r="A104" s="171"/>
      <c r="B104" s="172"/>
      <c r="C104" s="173" t="s">
        <v>789</v>
      </c>
      <c r="D104" s="172"/>
      <c r="E104" s="174"/>
      <c r="F104" s="175"/>
      <c r="G104" s="176"/>
      <c r="H104" s="175">
        <f>ROUND(H109,0)</f>
        <v>580281</v>
      </c>
    </row>
    <row r="105" ht="16.5" customHeight="1" spans="2:8">
      <c r="B105" s="145" t="s">
        <v>587</v>
      </c>
      <c r="C105" s="146" t="s">
        <v>588</v>
      </c>
      <c r="D105" s="145" t="s">
        <v>518</v>
      </c>
      <c r="E105" s="177">
        <v>200.85</v>
      </c>
      <c r="F105" s="148">
        <v>1140</v>
      </c>
      <c r="G105" s="144"/>
      <c r="H105" s="148">
        <f>ROUND(E105*F105,0)</f>
        <v>228969</v>
      </c>
    </row>
    <row r="106" ht="16.5" customHeight="1" spans="2:8">
      <c r="B106" s="145" t="s">
        <v>513</v>
      </c>
      <c r="C106" s="146" t="s">
        <v>514</v>
      </c>
      <c r="D106" s="145" t="s">
        <v>55</v>
      </c>
      <c r="E106" s="177">
        <v>0.53148</v>
      </c>
      <c r="F106" s="148">
        <v>258560</v>
      </c>
      <c r="G106" s="144"/>
      <c r="H106" s="148">
        <f>ROUND(E106*F106,0)</f>
        <v>137419</v>
      </c>
    </row>
    <row r="107" ht="16.5" customHeight="1" spans="2:8">
      <c r="B107" s="145" t="s">
        <v>530</v>
      </c>
      <c r="C107" s="146" t="s">
        <v>531</v>
      </c>
      <c r="D107" s="145" t="s">
        <v>55</v>
      </c>
      <c r="E107" s="177">
        <v>0.93627</v>
      </c>
      <c r="F107" s="148">
        <v>227000</v>
      </c>
      <c r="G107" s="144"/>
      <c r="H107" s="148">
        <f>ROUND(E107*F107,0)</f>
        <v>212533</v>
      </c>
    </row>
    <row r="108" ht="16.5" customHeight="1" spans="2:8">
      <c r="B108" s="145" t="s">
        <v>565</v>
      </c>
      <c r="C108" s="146" t="s">
        <v>566</v>
      </c>
      <c r="D108" s="145" t="s">
        <v>567</v>
      </c>
      <c r="E108" s="177">
        <v>169.95</v>
      </c>
      <c r="F108" s="148">
        <v>8</v>
      </c>
      <c r="G108" s="144"/>
      <c r="H108" s="148">
        <f>ROUND(E108*F108,0)</f>
        <v>1360</v>
      </c>
    </row>
    <row r="109" ht="16.5" customHeight="1" spans="2:8">
      <c r="B109" s="145"/>
      <c r="C109" s="146" t="s">
        <v>818</v>
      </c>
      <c r="D109" s="145"/>
      <c r="E109" s="205"/>
      <c r="F109" s="148"/>
      <c r="G109" s="144"/>
      <c r="H109" s="148">
        <f>ROUND(SUM(H105:H108),0)</f>
        <v>580281</v>
      </c>
    </row>
    <row r="110" ht="16.5" customHeight="1" spans="1:8">
      <c r="A110" s="171"/>
      <c r="B110" s="172"/>
      <c r="C110" s="173" t="s">
        <v>787</v>
      </c>
      <c r="D110" s="172"/>
      <c r="E110" s="174"/>
      <c r="F110" s="175"/>
      <c r="G110" s="176"/>
      <c r="H110" s="175">
        <f>ROUND(H111,0)</f>
        <v>291948</v>
      </c>
    </row>
    <row r="111" ht="16.5" customHeight="1" spans="2:8">
      <c r="B111" s="145" t="s">
        <v>592</v>
      </c>
      <c r="C111" s="146" t="s">
        <v>593</v>
      </c>
      <c r="D111" s="145" t="s">
        <v>594</v>
      </c>
      <c r="E111" s="177">
        <v>1.42</v>
      </c>
      <c r="F111" s="148">
        <v>205597</v>
      </c>
      <c r="G111" s="178">
        <v>1</v>
      </c>
      <c r="H111" s="148">
        <f>ROUND(E111*F111*G111,0)</f>
        <v>291948</v>
      </c>
    </row>
    <row r="112" ht="16.5" customHeight="1" spans="1:8">
      <c r="A112" s="171"/>
      <c r="B112" s="172"/>
      <c r="C112" s="173" t="s">
        <v>788</v>
      </c>
      <c r="D112" s="172"/>
      <c r="E112" s="174"/>
      <c r="F112" s="175"/>
      <c r="G112" s="176"/>
      <c r="H112" s="175">
        <f>ROUND(H115,0)</f>
        <v>49454</v>
      </c>
    </row>
    <row r="113" ht="16.5" customHeight="1" spans="2:8">
      <c r="B113" s="145" t="s">
        <v>642</v>
      </c>
      <c r="C113" s="146" t="s">
        <v>643</v>
      </c>
      <c r="D113" s="145" t="s">
        <v>612</v>
      </c>
      <c r="E113" s="177">
        <v>0.095</v>
      </c>
      <c r="F113" s="148">
        <v>301306</v>
      </c>
      <c r="G113" s="178">
        <v>1</v>
      </c>
      <c r="H113" s="148">
        <f>ROUND(E113*F113*G113,0)</f>
        <v>28624</v>
      </c>
    </row>
    <row r="114" ht="16.5" customHeight="1" spans="2:8">
      <c r="B114" s="145" t="s">
        <v>627</v>
      </c>
      <c r="C114" s="146" t="s">
        <v>628</v>
      </c>
      <c r="D114" s="145" t="s">
        <v>612</v>
      </c>
      <c r="E114" s="177">
        <v>0.089</v>
      </c>
      <c r="F114" s="148">
        <v>234046</v>
      </c>
      <c r="G114" s="178">
        <v>1</v>
      </c>
      <c r="H114" s="148">
        <f>ROUND(E114*F114*G114,0)</f>
        <v>20830</v>
      </c>
    </row>
    <row r="115" ht="16.5" customHeight="1" spans="2:8">
      <c r="B115" s="145"/>
      <c r="C115" s="146" t="s">
        <v>818</v>
      </c>
      <c r="D115" s="145"/>
      <c r="E115" s="205"/>
      <c r="F115" s="148"/>
      <c r="G115" s="144"/>
      <c r="H115" s="148">
        <f>ROUND(SUM(H113:H114),0)</f>
        <v>49454</v>
      </c>
    </row>
    <row r="116" ht="27.75" customHeight="1" spans="1:8">
      <c r="A116" s="179"/>
      <c r="B116" s="180"/>
      <c r="C116" s="181" t="s">
        <v>804</v>
      </c>
      <c r="D116" s="180" t="s">
        <v>805</v>
      </c>
      <c r="E116" s="182"/>
      <c r="F116" s="183"/>
      <c r="G116" s="184"/>
      <c r="H116" s="183">
        <f>ROUND(H104+H110+H112,0)</f>
        <v>921683</v>
      </c>
    </row>
    <row r="117" ht="16.5" customHeight="1" spans="1:8">
      <c r="A117" s="185"/>
      <c r="B117" s="186"/>
      <c r="C117" s="187" t="s">
        <v>806</v>
      </c>
      <c r="D117" s="186" t="s">
        <v>807</v>
      </c>
      <c r="E117" s="188" t="s">
        <v>808</v>
      </c>
      <c r="F117" s="189"/>
      <c r="G117" s="190"/>
      <c r="H117" s="189">
        <v>52536</v>
      </c>
    </row>
    <row r="118" ht="25.5" customHeight="1" spans="1:8">
      <c r="A118" s="185"/>
      <c r="B118" s="186"/>
      <c r="C118" s="187" t="s">
        <v>809</v>
      </c>
      <c r="D118" s="186" t="s">
        <v>810</v>
      </c>
      <c r="E118" s="188" t="s">
        <v>811</v>
      </c>
      <c r="F118" s="189"/>
      <c r="G118" s="190"/>
      <c r="H118" s="189">
        <v>53582</v>
      </c>
    </row>
    <row r="119" ht="28.5" customHeight="1" spans="1:8">
      <c r="A119" s="191"/>
      <c r="B119" s="192"/>
      <c r="C119" s="193" t="s">
        <v>812</v>
      </c>
      <c r="D119" s="192" t="s">
        <v>813</v>
      </c>
      <c r="E119" s="194"/>
      <c r="F119" s="195"/>
      <c r="G119" s="196"/>
      <c r="H119" s="195">
        <f>ROUND(H116+H117+H118,0)</f>
        <v>1027801</v>
      </c>
    </row>
    <row r="120" ht="25.5" customHeight="1" spans="1:8">
      <c r="A120" s="185"/>
      <c r="B120" s="186"/>
      <c r="C120" s="187" t="s">
        <v>814</v>
      </c>
      <c r="D120" s="186" t="s">
        <v>815</v>
      </c>
      <c r="E120" s="197">
        <v>0.1</v>
      </c>
      <c r="F120" s="189"/>
      <c r="G120" s="190"/>
      <c r="H120" s="189">
        <f>ROUND(E120*H119,0)</f>
        <v>102780</v>
      </c>
    </row>
    <row r="121" ht="30.75" customHeight="1" spans="1:8">
      <c r="A121" s="198"/>
      <c r="B121" s="199"/>
      <c r="C121" s="200" t="s">
        <v>816</v>
      </c>
      <c r="D121" s="199" t="s">
        <v>817</v>
      </c>
      <c r="E121" s="201"/>
      <c r="F121" s="202"/>
      <c r="G121" s="203"/>
      <c r="H121" s="204">
        <f>ROUND(H119+H120,0)</f>
        <v>1130581</v>
      </c>
    </row>
    <row r="122" ht="42" customHeight="1" spans="1:8">
      <c r="A122" s="166">
        <v>10</v>
      </c>
      <c r="B122" s="167" t="s">
        <v>105</v>
      </c>
      <c r="C122" s="168" t="s">
        <v>106</v>
      </c>
      <c r="D122" s="167" t="s">
        <v>107</v>
      </c>
      <c r="E122" s="169">
        <v>1</v>
      </c>
      <c r="F122" s="170"/>
      <c r="G122" s="166"/>
      <c r="H122" s="170"/>
    </row>
    <row r="123" ht="16.5" customHeight="1" spans="1:8">
      <c r="A123" s="171"/>
      <c r="B123" s="172"/>
      <c r="C123" s="173" t="s">
        <v>789</v>
      </c>
      <c r="D123" s="172"/>
      <c r="E123" s="174"/>
      <c r="F123" s="175"/>
      <c r="G123" s="176"/>
      <c r="H123" s="175">
        <f>ROUND(H129,0)</f>
        <v>2944150</v>
      </c>
    </row>
    <row r="124" ht="16.5" customHeight="1" spans="2:8">
      <c r="B124" s="145" t="s">
        <v>554</v>
      </c>
      <c r="C124" s="146" t="s">
        <v>555</v>
      </c>
      <c r="D124" s="145" t="s">
        <v>55</v>
      </c>
      <c r="E124" s="177">
        <v>0.792</v>
      </c>
      <c r="F124" s="148">
        <v>2000000</v>
      </c>
      <c r="G124" s="144"/>
      <c r="H124" s="148">
        <f>ROUND(E124*F124,0)</f>
        <v>1584000</v>
      </c>
    </row>
    <row r="125" ht="16.5" customHeight="1" spans="2:8">
      <c r="B125" s="145" t="s">
        <v>549</v>
      </c>
      <c r="C125" s="146" t="s">
        <v>550</v>
      </c>
      <c r="D125" s="145" t="s">
        <v>55</v>
      </c>
      <c r="E125" s="177">
        <v>0.0865</v>
      </c>
      <c r="F125" s="148">
        <v>2000000</v>
      </c>
      <c r="G125" s="144"/>
      <c r="H125" s="148">
        <f>ROUND(E125*F125,0)</f>
        <v>173000</v>
      </c>
    </row>
    <row r="126" ht="16.5" customHeight="1" spans="2:8">
      <c r="B126" s="145" t="s">
        <v>546</v>
      </c>
      <c r="C126" s="146" t="s">
        <v>547</v>
      </c>
      <c r="D126" s="145" t="s">
        <v>55</v>
      </c>
      <c r="E126" s="177">
        <v>0.459</v>
      </c>
      <c r="F126" s="148">
        <v>2000000</v>
      </c>
      <c r="G126" s="144"/>
      <c r="H126" s="148">
        <f>ROUND(E126*F126,0)</f>
        <v>918000</v>
      </c>
    </row>
    <row r="127" ht="16.5" customHeight="1" spans="2:8">
      <c r="B127" s="145" t="s">
        <v>536</v>
      </c>
      <c r="C127" s="146" t="s">
        <v>537</v>
      </c>
      <c r="D127" s="145" t="s">
        <v>518</v>
      </c>
      <c r="E127" s="177">
        <v>12</v>
      </c>
      <c r="F127" s="148">
        <v>20000</v>
      </c>
      <c r="G127" s="144"/>
      <c r="H127" s="148">
        <f>ROUND(E127*F127,0)</f>
        <v>240000</v>
      </c>
    </row>
    <row r="128" ht="16.5" customHeight="1" spans="2:8">
      <c r="B128" s="145" t="s">
        <v>793</v>
      </c>
      <c r="C128" s="146" t="s">
        <v>794</v>
      </c>
      <c r="D128" s="145" t="s">
        <v>792</v>
      </c>
      <c r="E128" s="177">
        <v>1</v>
      </c>
      <c r="F128" s="148">
        <f>ROUND(SUM(H124:H127)/100,0)</f>
        <v>29150</v>
      </c>
      <c r="G128" s="144"/>
      <c r="H128" s="148">
        <f>ROUND(E128*F128,0)</f>
        <v>29150</v>
      </c>
    </row>
    <row r="129" ht="16.5" customHeight="1" spans="2:8">
      <c r="B129" s="145"/>
      <c r="C129" s="146" t="s">
        <v>818</v>
      </c>
      <c r="D129" s="145"/>
      <c r="E129" s="205"/>
      <c r="F129" s="148"/>
      <c r="G129" s="144"/>
      <c r="H129" s="148">
        <f>ROUND(SUM(H124:H128),0)</f>
        <v>2944150</v>
      </c>
    </row>
    <row r="130" ht="16.5" customHeight="1" spans="1:8">
      <c r="A130" s="171"/>
      <c r="B130" s="172"/>
      <c r="C130" s="173" t="s">
        <v>787</v>
      </c>
      <c r="D130" s="172"/>
      <c r="E130" s="174"/>
      <c r="F130" s="175"/>
      <c r="G130" s="176"/>
      <c r="H130" s="175">
        <f>ROUND(H131,0)</f>
        <v>3050790</v>
      </c>
    </row>
    <row r="131" ht="16.5" customHeight="1" spans="2:8">
      <c r="B131" s="145" t="s">
        <v>596</v>
      </c>
      <c r="C131" s="146" t="s">
        <v>597</v>
      </c>
      <c r="D131" s="145" t="s">
        <v>594</v>
      </c>
      <c r="E131" s="177">
        <v>13.61</v>
      </c>
      <c r="F131" s="148">
        <v>224158</v>
      </c>
      <c r="G131" s="178">
        <v>1</v>
      </c>
      <c r="H131" s="148">
        <f>ROUND(E131*F131*G131,0)</f>
        <v>3050790</v>
      </c>
    </row>
    <row r="132" ht="27.75" customHeight="1" spans="1:8">
      <c r="A132" s="179"/>
      <c r="B132" s="180"/>
      <c r="C132" s="181" t="s">
        <v>804</v>
      </c>
      <c r="D132" s="180" t="s">
        <v>805</v>
      </c>
      <c r="E132" s="182"/>
      <c r="F132" s="183"/>
      <c r="G132" s="184"/>
      <c r="H132" s="183">
        <f>ROUND(H123+H130,0)</f>
        <v>5994940</v>
      </c>
    </row>
    <row r="133" ht="16.5" customHeight="1" spans="1:8">
      <c r="A133" s="185"/>
      <c r="B133" s="186"/>
      <c r="C133" s="187" t="s">
        <v>806</v>
      </c>
      <c r="D133" s="186" t="s">
        <v>807</v>
      </c>
      <c r="E133" s="188" t="s">
        <v>808</v>
      </c>
      <c r="F133" s="189"/>
      <c r="G133" s="190"/>
      <c r="H133" s="189">
        <v>341712</v>
      </c>
    </row>
    <row r="134" ht="25.5" customHeight="1" spans="1:8">
      <c r="A134" s="185"/>
      <c r="B134" s="186"/>
      <c r="C134" s="187" t="s">
        <v>809</v>
      </c>
      <c r="D134" s="186" t="s">
        <v>810</v>
      </c>
      <c r="E134" s="188" t="s">
        <v>811</v>
      </c>
      <c r="F134" s="189"/>
      <c r="G134" s="190"/>
      <c r="H134" s="189">
        <v>348516</v>
      </c>
    </row>
    <row r="135" ht="28.5" customHeight="1" spans="1:8">
      <c r="A135" s="191"/>
      <c r="B135" s="192"/>
      <c r="C135" s="193" t="s">
        <v>812</v>
      </c>
      <c r="D135" s="192" t="s">
        <v>813</v>
      </c>
      <c r="E135" s="194"/>
      <c r="F135" s="195"/>
      <c r="G135" s="196"/>
      <c r="H135" s="195">
        <f>ROUND(H132+H133+H134,0)</f>
        <v>6685168</v>
      </c>
    </row>
    <row r="136" ht="25.5" customHeight="1" spans="1:8">
      <c r="A136" s="185"/>
      <c r="B136" s="186"/>
      <c r="C136" s="187" t="s">
        <v>814</v>
      </c>
      <c r="D136" s="186" t="s">
        <v>815</v>
      </c>
      <c r="E136" s="197">
        <v>0.1</v>
      </c>
      <c r="F136" s="189"/>
      <c r="G136" s="190"/>
      <c r="H136" s="189">
        <f>ROUND(E136*H135,0)</f>
        <v>668517</v>
      </c>
    </row>
    <row r="137" ht="30.75" customHeight="1" spans="1:8">
      <c r="A137" s="198"/>
      <c r="B137" s="199"/>
      <c r="C137" s="200" t="s">
        <v>816</v>
      </c>
      <c r="D137" s="199" t="s">
        <v>817</v>
      </c>
      <c r="E137" s="201"/>
      <c r="F137" s="202"/>
      <c r="G137" s="203"/>
      <c r="H137" s="204">
        <f>ROUND(H135+H136,0)</f>
        <v>7353685</v>
      </c>
    </row>
    <row r="138" ht="42" customHeight="1" spans="1:8">
      <c r="A138" s="166">
        <v>11</v>
      </c>
      <c r="B138" s="167" t="s">
        <v>112</v>
      </c>
      <c r="C138" s="168" t="s">
        <v>113</v>
      </c>
      <c r="D138" s="167" t="s">
        <v>114</v>
      </c>
      <c r="E138" s="169">
        <v>1</v>
      </c>
      <c r="F138" s="170"/>
      <c r="G138" s="166"/>
      <c r="H138" s="170"/>
    </row>
    <row r="139" ht="16.5" customHeight="1" spans="1:8">
      <c r="A139" s="171"/>
      <c r="B139" s="172"/>
      <c r="C139" s="173" t="s">
        <v>789</v>
      </c>
      <c r="D139" s="172"/>
      <c r="E139" s="174"/>
      <c r="F139" s="175"/>
      <c r="G139" s="176"/>
      <c r="H139" s="175">
        <f>ROUND(H142,0)</f>
        <v>13392900</v>
      </c>
    </row>
    <row r="140" ht="16.5" customHeight="1" spans="2:8">
      <c r="B140" s="145" t="s">
        <v>572</v>
      </c>
      <c r="C140" s="146" t="s">
        <v>573</v>
      </c>
      <c r="D140" s="145" t="s">
        <v>518</v>
      </c>
      <c r="E140" s="177">
        <v>1005</v>
      </c>
      <c r="F140" s="148">
        <v>12900</v>
      </c>
      <c r="G140" s="144"/>
      <c r="H140" s="148">
        <f>ROUND(E140*F140,0)</f>
        <v>12964500</v>
      </c>
    </row>
    <row r="141" ht="16.5" customHeight="1" spans="2:8">
      <c r="B141" s="145" t="s">
        <v>521</v>
      </c>
      <c r="C141" s="146" t="s">
        <v>522</v>
      </c>
      <c r="D141" s="145" t="s">
        <v>518</v>
      </c>
      <c r="E141" s="177">
        <v>21.42</v>
      </c>
      <c r="F141" s="148">
        <v>20000</v>
      </c>
      <c r="G141" s="144"/>
      <c r="H141" s="148">
        <f>ROUND(E141*F141,0)</f>
        <v>428400</v>
      </c>
    </row>
    <row r="142" ht="16.5" customHeight="1" spans="2:8">
      <c r="B142" s="145"/>
      <c r="C142" s="146" t="s">
        <v>818</v>
      </c>
      <c r="D142" s="145"/>
      <c r="E142" s="205"/>
      <c r="F142" s="148"/>
      <c r="G142" s="144"/>
      <c r="H142" s="148">
        <f>ROUND(SUM(H140:H141),0)</f>
        <v>13392900</v>
      </c>
    </row>
    <row r="143" ht="16.5" customHeight="1" spans="1:8">
      <c r="A143" s="171"/>
      <c r="B143" s="172"/>
      <c r="C143" s="173" t="s">
        <v>787</v>
      </c>
      <c r="D143" s="172"/>
      <c r="E143" s="174"/>
      <c r="F143" s="175"/>
      <c r="G143" s="176"/>
      <c r="H143" s="175">
        <f>ROUND(H144,0)</f>
        <v>2537469</v>
      </c>
    </row>
    <row r="144" ht="16.5" customHeight="1" spans="2:8">
      <c r="B144" s="145" t="s">
        <v>596</v>
      </c>
      <c r="C144" s="146" t="s">
        <v>597</v>
      </c>
      <c r="D144" s="145" t="s">
        <v>594</v>
      </c>
      <c r="E144" s="177">
        <v>11.32</v>
      </c>
      <c r="F144" s="148">
        <v>224158</v>
      </c>
      <c r="G144" s="178">
        <v>1</v>
      </c>
      <c r="H144" s="148">
        <f>ROUND(E144*F144*G144,0)</f>
        <v>2537469</v>
      </c>
    </row>
    <row r="145" ht="16.5" customHeight="1" spans="1:8">
      <c r="A145" s="171"/>
      <c r="B145" s="172"/>
      <c r="C145" s="173" t="s">
        <v>788</v>
      </c>
      <c r="D145" s="172"/>
      <c r="E145" s="174"/>
      <c r="F145" s="175"/>
      <c r="G145" s="176"/>
      <c r="H145" s="175">
        <f>ROUND(H146,0)</f>
        <v>96180</v>
      </c>
    </row>
    <row r="146" ht="16.5" customHeight="1" spans="2:8">
      <c r="B146" s="145" t="s">
        <v>621</v>
      </c>
      <c r="C146" s="146" t="s">
        <v>622</v>
      </c>
      <c r="D146" s="145" t="s">
        <v>612</v>
      </c>
      <c r="E146" s="177">
        <v>0.4</v>
      </c>
      <c r="F146" s="148">
        <v>240449</v>
      </c>
      <c r="G146" s="178">
        <v>1</v>
      </c>
      <c r="H146" s="148">
        <f>ROUND(E146*F146*G146,0)</f>
        <v>96180</v>
      </c>
    </row>
    <row r="147" ht="27.75" customHeight="1" spans="1:8">
      <c r="A147" s="179"/>
      <c r="B147" s="180"/>
      <c r="C147" s="181" t="s">
        <v>804</v>
      </c>
      <c r="D147" s="180" t="s">
        <v>805</v>
      </c>
      <c r="E147" s="182"/>
      <c r="F147" s="183"/>
      <c r="G147" s="184"/>
      <c r="H147" s="183">
        <f>ROUND(H139+H143+H145,0)</f>
        <v>16026549</v>
      </c>
    </row>
    <row r="148" ht="16.5" customHeight="1" spans="1:8">
      <c r="A148" s="185"/>
      <c r="B148" s="186"/>
      <c r="C148" s="187" t="s">
        <v>806</v>
      </c>
      <c r="D148" s="186" t="s">
        <v>807</v>
      </c>
      <c r="E148" s="188" t="s">
        <v>808</v>
      </c>
      <c r="F148" s="189"/>
      <c r="G148" s="190"/>
      <c r="H148" s="189">
        <v>913513</v>
      </c>
    </row>
    <row r="149" ht="25.5" customHeight="1" spans="1:8">
      <c r="A149" s="185"/>
      <c r="B149" s="186"/>
      <c r="C149" s="187" t="s">
        <v>809</v>
      </c>
      <c r="D149" s="186" t="s">
        <v>810</v>
      </c>
      <c r="E149" s="188" t="s">
        <v>811</v>
      </c>
      <c r="F149" s="189"/>
      <c r="G149" s="190"/>
      <c r="H149" s="189">
        <v>931703</v>
      </c>
    </row>
    <row r="150" ht="28.5" customHeight="1" spans="1:8">
      <c r="A150" s="191"/>
      <c r="B150" s="192"/>
      <c r="C150" s="193" t="s">
        <v>812</v>
      </c>
      <c r="D150" s="192" t="s">
        <v>813</v>
      </c>
      <c r="E150" s="194"/>
      <c r="F150" s="195"/>
      <c r="G150" s="196"/>
      <c r="H150" s="195">
        <f>ROUND(H147+H148+H149,0)</f>
        <v>17871765</v>
      </c>
    </row>
    <row r="151" ht="25.5" customHeight="1" spans="1:8">
      <c r="A151" s="185"/>
      <c r="B151" s="186"/>
      <c r="C151" s="187" t="s">
        <v>814</v>
      </c>
      <c r="D151" s="186" t="s">
        <v>815</v>
      </c>
      <c r="E151" s="197">
        <v>0.1</v>
      </c>
      <c r="F151" s="189"/>
      <c r="G151" s="190"/>
      <c r="H151" s="189">
        <f>ROUND(E151*H150,0)</f>
        <v>1787177</v>
      </c>
    </row>
    <row r="152" ht="30.75" customHeight="1" spans="1:8">
      <c r="A152" s="198"/>
      <c r="B152" s="199"/>
      <c r="C152" s="200" t="s">
        <v>816</v>
      </c>
      <c r="D152" s="199" t="s">
        <v>817</v>
      </c>
      <c r="E152" s="201"/>
      <c r="F152" s="202"/>
      <c r="G152" s="203"/>
      <c r="H152" s="204">
        <f>ROUND(H150+H151,0)</f>
        <v>19658942</v>
      </c>
    </row>
    <row r="153" ht="42" customHeight="1" spans="1:8">
      <c r="A153" s="166">
        <v>12</v>
      </c>
      <c r="B153" s="167" t="s">
        <v>122</v>
      </c>
      <c r="C153" s="168" t="s">
        <v>123</v>
      </c>
      <c r="D153" s="167" t="s">
        <v>114</v>
      </c>
      <c r="E153" s="169">
        <v>1</v>
      </c>
      <c r="F153" s="170"/>
      <c r="G153" s="166"/>
      <c r="H153" s="170"/>
    </row>
    <row r="154" ht="16.5" customHeight="1" spans="1:8">
      <c r="A154" s="171"/>
      <c r="B154" s="172"/>
      <c r="C154" s="173" t="s">
        <v>789</v>
      </c>
      <c r="D154" s="172"/>
      <c r="E154" s="174"/>
      <c r="F154" s="175"/>
      <c r="G154" s="176"/>
      <c r="H154" s="175">
        <f>ROUND(H158,0)</f>
        <v>13943472</v>
      </c>
    </row>
    <row r="155" ht="16.5" customHeight="1" spans="2:8">
      <c r="B155" s="145" t="s">
        <v>575</v>
      </c>
      <c r="C155" s="146" t="s">
        <v>576</v>
      </c>
      <c r="D155" s="145" t="s">
        <v>518</v>
      </c>
      <c r="E155" s="177">
        <v>1020</v>
      </c>
      <c r="F155" s="148">
        <v>13300</v>
      </c>
      <c r="G155" s="144"/>
      <c r="H155" s="148">
        <f>ROUND(E155*F155,0)</f>
        <v>13566000</v>
      </c>
    </row>
    <row r="156" ht="16.5" customHeight="1" spans="2:8">
      <c r="B156" s="145" t="s">
        <v>521</v>
      </c>
      <c r="C156" s="146" t="s">
        <v>522</v>
      </c>
      <c r="D156" s="145" t="s">
        <v>518</v>
      </c>
      <c r="E156" s="177">
        <v>14.28</v>
      </c>
      <c r="F156" s="148">
        <v>20000</v>
      </c>
      <c r="G156" s="144"/>
      <c r="H156" s="148">
        <f>ROUND(E156*F156,0)</f>
        <v>285600</v>
      </c>
    </row>
    <row r="157" ht="16.5" customHeight="1" spans="2:8">
      <c r="B157" s="145" t="s">
        <v>569</v>
      </c>
      <c r="C157" s="146" t="s">
        <v>570</v>
      </c>
      <c r="D157" s="145" t="s">
        <v>518</v>
      </c>
      <c r="E157" s="177">
        <v>4.64</v>
      </c>
      <c r="F157" s="148">
        <v>19800</v>
      </c>
      <c r="G157" s="144"/>
      <c r="H157" s="148">
        <f>ROUND(E157*F157,0)</f>
        <v>91872</v>
      </c>
    </row>
    <row r="158" ht="16.5" customHeight="1" spans="2:8">
      <c r="B158" s="145"/>
      <c r="C158" s="146" t="s">
        <v>818</v>
      </c>
      <c r="D158" s="145"/>
      <c r="E158" s="205"/>
      <c r="F158" s="148"/>
      <c r="G158" s="144"/>
      <c r="H158" s="148">
        <f>ROUND(SUM(H155:H157),0)</f>
        <v>13943472</v>
      </c>
    </row>
    <row r="159" ht="16.5" customHeight="1" spans="1:8">
      <c r="A159" s="171"/>
      <c r="B159" s="172"/>
      <c r="C159" s="173" t="s">
        <v>787</v>
      </c>
      <c r="D159" s="172"/>
      <c r="E159" s="174"/>
      <c r="F159" s="175"/>
      <c r="G159" s="176"/>
      <c r="H159" s="175">
        <f>ROUND(H160,0)</f>
        <v>1869478</v>
      </c>
    </row>
    <row r="160" ht="16.5" customHeight="1" spans="2:8">
      <c r="B160" s="145" t="s">
        <v>596</v>
      </c>
      <c r="C160" s="146" t="s">
        <v>597</v>
      </c>
      <c r="D160" s="145" t="s">
        <v>594</v>
      </c>
      <c r="E160" s="177">
        <v>8.34</v>
      </c>
      <c r="F160" s="148">
        <v>224158</v>
      </c>
      <c r="G160" s="178">
        <v>1</v>
      </c>
      <c r="H160" s="148">
        <f>ROUND(E160*F160*G160,0)</f>
        <v>1869478</v>
      </c>
    </row>
    <row r="161" ht="16.5" customHeight="1" spans="1:8">
      <c r="A161" s="171"/>
      <c r="B161" s="172"/>
      <c r="C161" s="173" t="s">
        <v>788</v>
      </c>
      <c r="D161" s="172"/>
      <c r="E161" s="174"/>
      <c r="F161" s="175"/>
      <c r="G161" s="176"/>
      <c r="H161" s="175">
        <f>ROUND(H164,0)</f>
        <v>481415</v>
      </c>
    </row>
    <row r="162" ht="16.5" customHeight="1" spans="2:8">
      <c r="B162" s="145" t="s">
        <v>636</v>
      </c>
      <c r="C162" s="146" t="s">
        <v>637</v>
      </c>
      <c r="D162" s="145" t="s">
        <v>612</v>
      </c>
      <c r="E162" s="177">
        <v>1.12</v>
      </c>
      <c r="F162" s="148">
        <v>361135</v>
      </c>
      <c r="G162" s="178">
        <v>1</v>
      </c>
      <c r="H162" s="148">
        <f>ROUND(E162*F162*G162,0)</f>
        <v>404471</v>
      </c>
    </row>
    <row r="163" ht="16.5" customHeight="1" spans="2:8">
      <c r="B163" s="145" t="s">
        <v>621</v>
      </c>
      <c r="C163" s="146" t="s">
        <v>622</v>
      </c>
      <c r="D163" s="145" t="s">
        <v>612</v>
      </c>
      <c r="E163" s="177">
        <v>0.32</v>
      </c>
      <c r="F163" s="148">
        <v>240449</v>
      </c>
      <c r="G163" s="178">
        <v>1</v>
      </c>
      <c r="H163" s="148">
        <f>ROUND(E163*F163*G163,0)</f>
        <v>76944</v>
      </c>
    </row>
    <row r="164" ht="16.5" customHeight="1" spans="2:8">
      <c r="B164" s="145"/>
      <c r="C164" s="146" t="s">
        <v>818</v>
      </c>
      <c r="D164" s="145"/>
      <c r="E164" s="205"/>
      <c r="F164" s="148"/>
      <c r="G164" s="144"/>
      <c r="H164" s="148">
        <f>ROUND(SUM(H162:H163),0)</f>
        <v>481415</v>
      </c>
    </row>
    <row r="165" ht="27.75" customHeight="1" spans="1:8">
      <c r="A165" s="179"/>
      <c r="B165" s="180"/>
      <c r="C165" s="181" t="s">
        <v>804</v>
      </c>
      <c r="D165" s="180" t="s">
        <v>805</v>
      </c>
      <c r="E165" s="182"/>
      <c r="F165" s="183"/>
      <c r="G165" s="184"/>
      <c r="H165" s="183">
        <f>ROUND(H154+H159+H161,0)</f>
        <v>16294365</v>
      </c>
    </row>
    <row r="166" ht="16.5" customHeight="1" spans="1:8">
      <c r="A166" s="185"/>
      <c r="B166" s="186"/>
      <c r="C166" s="187" t="s">
        <v>806</v>
      </c>
      <c r="D166" s="186" t="s">
        <v>807</v>
      </c>
      <c r="E166" s="188" t="s">
        <v>808</v>
      </c>
      <c r="F166" s="189"/>
      <c r="G166" s="190"/>
      <c r="H166" s="189">
        <v>928779</v>
      </c>
    </row>
    <row r="167" ht="25.5" customHeight="1" spans="1:8">
      <c r="A167" s="185"/>
      <c r="B167" s="186"/>
      <c r="C167" s="187" t="s">
        <v>809</v>
      </c>
      <c r="D167" s="186" t="s">
        <v>810</v>
      </c>
      <c r="E167" s="188" t="s">
        <v>811</v>
      </c>
      <c r="F167" s="189"/>
      <c r="G167" s="190"/>
      <c r="H167" s="189">
        <v>947273</v>
      </c>
    </row>
    <row r="168" ht="28.5" customHeight="1" spans="1:8">
      <c r="A168" s="191"/>
      <c r="B168" s="192"/>
      <c r="C168" s="193" t="s">
        <v>812</v>
      </c>
      <c r="D168" s="192" t="s">
        <v>813</v>
      </c>
      <c r="E168" s="194"/>
      <c r="F168" s="195"/>
      <c r="G168" s="196"/>
      <c r="H168" s="195">
        <f>ROUND(H165+H166+H167,0)</f>
        <v>18170417</v>
      </c>
    </row>
    <row r="169" ht="25.5" customHeight="1" spans="1:8">
      <c r="A169" s="185"/>
      <c r="B169" s="186"/>
      <c r="C169" s="187" t="s">
        <v>814</v>
      </c>
      <c r="D169" s="186" t="s">
        <v>815</v>
      </c>
      <c r="E169" s="197">
        <v>0.1</v>
      </c>
      <c r="F169" s="189"/>
      <c r="G169" s="190"/>
      <c r="H169" s="189">
        <f>ROUND(E169*H168,0)</f>
        <v>1817042</v>
      </c>
    </row>
    <row r="170" ht="30.75" customHeight="1" spans="1:8">
      <c r="A170" s="198"/>
      <c r="B170" s="199"/>
      <c r="C170" s="200" t="s">
        <v>816</v>
      </c>
      <c r="D170" s="199" t="s">
        <v>817</v>
      </c>
      <c r="E170" s="201"/>
      <c r="F170" s="202"/>
      <c r="G170" s="203"/>
      <c r="H170" s="204">
        <f>ROUND(H168+H169,0)</f>
        <v>19987459</v>
      </c>
    </row>
    <row r="171" ht="42" customHeight="1" spans="1:8">
      <c r="A171" s="166">
        <v>13</v>
      </c>
      <c r="B171" s="167" t="s">
        <v>105</v>
      </c>
      <c r="C171" s="168" t="s">
        <v>128</v>
      </c>
      <c r="D171" s="167" t="s">
        <v>107</v>
      </c>
      <c r="E171" s="169">
        <v>1</v>
      </c>
      <c r="F171" s="170"/>
      <c r="G171" s="166"/>
      <c r="H171" s="170"/>
    </row>
    <row r="172" ht="16.5" customHeight="1" spans="1:8">
      <c r="A172" s="171"/>
      <c r="B172" s="172"/>
      <c r="C172" s="173" t="s">
        <v>789</v>
      </c>
      <c r="D172" s="172"/>
      <c r="E172" s="174"/>
      <c r="F172" s="175"/>
      <c r="G172" s="176"/>
      <c r="H172" s="175">
        <f>ROUND(H178,0)</f>
        <v>2944150</v>
      </c>
    </row>
    <row r="173" ht="16.5" customHeight="1" spans="2:8">
      <c r="B173" s="145" t="s">
        <v>554</v>
      </c>
      <c r="C173" s="146" t="s">
        <v>555</v>
      </c>
      <c r="D173" s="145" t="s">
        <v>55</v>
      </c>
      <c r="E173" s="177">
        <v>0.792</v>
      </c>
      <c r="F173" s="148">
        <v>2000000</v>
      </c>
      <c r="G173" s="144"/>
      <c r="H173" s="148">
        <f>ROUND(E173*F173,0)</f>
        <v>1584000</v>
      </c>
    </row>
    <row r="174" ht="16.5" customHeight="1" spans="2:8">
      <c r="B174" s="145" t="s">
        <v>549</v>
      </c>
      <c r="C174" s="146" t="s">
        <v>550</v>
      </c>
      <c r="D174" s="145" t="s">
        <v>55</v>
      </c>
      <c r="E174" s="177">
        <v>0.0865</v>
      </c>
      <c r="F174" s="148">
        <v>2000000</v>
      </c>
      <c r="G174" s="144"/>
      <c r="H174" s="148">
        <f>ROUND(E174*F174,0)</f>
        <v>173000</v>
      </c>
    </row>
    <row r="175" ht="16.5" customHeight="1" spans="2:8">
      <c r="B175" s="145" t="s">
        <v>546</v>
      </c>
      <c r="C175" s="146" t="s">
        <v>547</v>
      </c>
      <c r="D175" s="145" t="s">
        <v>55</v>
      </c>
      <c r="E175" s="177">
        <v>0.459</v>
      </c>
      <c r="F175" s="148">
        <v>2000000</v>
      </c>
      <c r="G175" s="144"/>
      <c r="H175" s="148">
        <f>ROUND(E175*F175,0)</f>
        <v>918000</v>
      </c>
    </row>
    <row r="176" ht="16.5" customHeight="1" spans="2:8">
      <c r="B176" s="145" t="s">
        <v>536</v>
      </c>
      <c r="C176" s="146" t="s">
        <v>537</v>
      </c>
      <c r="D176" s="145" t="s">
        <v>518</v>
      </c>
      <c r="E176" s="177">
        <v>12</v>
      </c>
      <c r="F176" s="148">
        <v>20000</v>
      </c>
      <c r="G176" s="144"/>
      <c r="H176" s="148">
        <f>ROUND(E176*F176,0)</f>
        <v>240000</v>
      </c>
    </row>
    <row r="177" ht="16.5" customHeight="1" spans="2:8">
      <c r="B177" s="145" t="s">
        <v>793</v>
      </c>
      <c r="C177" s="146" t="s">
        <v>794</v>
      </c>
      <c r="D177" s="145" t="s">
        <v>792</v>
      </c>
      <c r="E177" s="177">
        <v>1</v>
      </c>
      <c r="F177" s="148">
        <f>ROUND(SUM(H173:H176)/100,0)</f>
        <v>29150</v>
      </c>
      <c r="G177" s="144"/>
      <c r="H177" s="148">
        <f>ROUND(E177*F177,0)</f>
        <v>29150</v>
      </c>
    </row>
    <row r="178" ht="16.5" customHeight="1" spans="2:8">
      <c r="B178" s="145"/>
      <c r="C178" s="146" t="s">
        <v>818</v>
      </c>
      <c r="D178" s="145"/>
      <c r="E178" s="205"/>
      <c r="F178" s="148"/>
      <c r="G178" s="144"/>
      <c r="H178" s="148">
        <f>ROUND(SUM(H173:H177),0)</f>
        <v>2944150</v>
      </c>
    </row>
    <row r="179" ht="16.5" customHeight="1" spans="1:8">
      <c r="A179" s="171"/>
      <c r="B179" s="172"/>
      <c r="C179" s="173" t="s">
        <v>787</v>
      </c>
      <c r="D179" s="172"/>
      <c r="E179" s="174"/>
      <c r="F179" s="175"/>
      <c r="G179" s="176"/>
      <c r="H179" s="175">
        <f>ROUND(H180,0)</f>
        <v>3050790</v>
      </c>
    </row>
    <row r="180" ht="16.5" customHeight="1" spans="2:8">
      <c r="B180" s="145" t="s">
        <v>596</v>
      </c>
      <c r="C180" s="146" t="s">
        <v>597</v>
      </c>
      <c r="D180" s="145" t="s">
        <v>594</v>
      </c>
      <c r="E180" s="177">
        <v>13.61</v>
      </c>
      <c r="F180" s="148">
        <v>224158</v>
      </c>
      <c r="G180" s="178">
        <v>1</v>
      </c>
      <c r="H180" s="148">
        <f>ROUND(E180*F180*G180,0)</f>
        <v>3050790</v>
      </c>
    </row>
    <row r="181" ht="27.75" customHeight="1" spans="1:8">
      <c r="A181" s="179"/>
      <c r="B181" s="180"/>
      <c r="C181" s="181" t="s">
        <v>804</v>
      </c>
      <c r="D181" s="180" t="s">
        <v>805</v>
      </c>
      <c r="E181" s="182"/>
      <c r="F181" s="183"/>
      <c r="G181" s="184"/>
      <c r="H181" s="183">
        <f>ROUND(H172+H179,0)</f>
        <v>5994940</v>
      </c>
    </row>
    <row r="182" ht="16.5" customHeight="1" spans="1:8">
      <c r="A182" s="185"/>
      <c r="B182" s="186"/>
      <c r="C182" s="187" t="s">
        <v>806</v>
      </c>
      <c r="D182" s="186" t="s">
        <v>807</v>
      </c>
      <c r="E182" s="188" t="s">
        <v>808</v>
      </c>
      <c r="F182" s="189"/>
      <c r="G182" s="190"/>
      <c r="H182" s="189">
        <v>341712</v>
      </c>
    </row>
    <row r="183" ht="25.5" customHeight="1" spans="1:8">
      <c r="A183" s="185"/>
      <c r="B183" s="186"/>
      <c r="C183" s="187" t="s">
        <v>809</v>
      </c>
      <c r="D183" s="186" t="s">
        <v>810</v>
      </c>
      <c r="E183" s="188" t="s">
        <v>811</v>
      </c>
      <c r="F183" s="189"/>
      <c r="G183" s="190"/>
      <c r="H183" s="189">
        <v>348516</v>
      </c>
    </row>
    <row r="184" ht="28.5" customHeight="1" spans="1:8">
      <c r="A184" s="191"/>
      <c r="B184" s="192"/>
      <c r="C184" s="193" t="s">
        <v>812</v>
      </c>
      <c r="D184" s="192" t="s">
        <v>813</v>
      </c>
      <c r="E184" s="194"/>
      <c r="F184" s="195"/>
      <c r="G184" s="196"/>
      <c r="H184" s="195">
        <f>ROUND(H181+H182+H183,0)</f>
        <v>6685168</v>
      </c>
    </row>
    <row r="185" ht="25.5" customHeight="1" spans="1:8">
      <c r="A185" s="185"/>
      <c r="B185" s="186"/>
      <c r="C185" s="187" t="s">
        <v>814</v>
      </c>
      <c r="D185" s="186" t="s">
        <v>815</v>
      </c>
      <c r="E185" s="197">
        <v>0.1</v>
      </c>
      <c r="F185" s="189"/>
      <c r="G185" s="190"/>
      <c r="H185" s="189">
        <f>ROUND(E185*H184,0)</f>
        <v>668517</v>
      </c>
    </row>
    <row r="186" ht="30.75" customHeight="1" spans="1:8">
      <c r="A186" s="198"/>
      <c r="B186" s="199"/>
      <c r="C186" s="200" t="s">
        <v>816</v>
      </c>
      <c r="D186" s="199" t="s">
        <v>817</v>
      </c>
      <c r="E186" s="201"/>
      <c r="F186" s="202"/>
      <c r="G186" s="203"/>
      <c r="H186" s="204">
        <f>ROUND(H184+H185,0)</f>
        <v>7353685</v>
      </c>
    </row>
    <row r="187" ht="54.75" customHeight="1" spans="1:8">
      <c r="A187" s="166">
        <v>14</v>
      </c>
      <c r="B187" s="167" t="s">
        <v>112</v>
      </c>
      <c r="C187" s="168" t="s">
        <v>133</v>
      </c>
      <c r="D187" s="167" t="s">
        <v>114</v>
      </c>
      <c r="E187" s="169">
        <v>1</v>
      </c>
      <c r="F187" s="170"/>
      <c r="G187" s="166"/>
      <c r="H187" s="170"/>
    </row>
    <row r="188" ht="16.5" customHeight="1" spans="1:8">
      <c r="A188" s="171"/>
      <c r="B188" s="172"/>
      <c r="C188" s="173" t="s">
        <v>789</v>
      </c>
      <c r="D188" s="172"/>
      <c r="E188" s="174"/>
      <c r="F188" s="175"/>
      <c r="G188" s="176"/>
      <c r="H188" s="175">
        <f>ROUND(H191,0)</f>
        <v>13392900</v>
      </c>
    </row>
    <row r="189" ht="16.5" customHeight="1" spans="2:8">
      <c r="B189" s="145" t="s">
        <v>572</v>
      </c>
      <c r="C189" s="146" t="s">
        <v>573</v>
      </c>
      <c r="D189" s="145" t="s">
        <v>518</v>
      </c>
      <c r="E189" s="177">
        <v>1005</v>
      </c>
      <c r="F189" s="148">
        <v>12900</v>
      </c>
      <c r="G189" s="144"/>
      <c r="H189" s="148">
        <f>ROUND(E189*F189,0)</f>
        <v>12964500</v>
      </c>
    </row>
    <row r="190" ht="16.5" customHeight="1" spans="2:8">
      <c r="B190" s="145" t="s">
        <v>521</v>
      </c>
      <c r="C190" s="146" t="s">
        <v>522</v>
      </c>
      <c r="D190" s="145" t="s">
        <v>518</v>
      </c>
      <c r="E190" s="177">
        <v>21.42</v>
      </c>
      <c r="F190" s="148">
        <v>20000</v>
      </c>
      <c r="G190" s="144"/>
      <c r="H190" s="148">
        <f>ROUND(E190*F190,0)</f>
        <v>428400</v>
      </c>
    </row>
    <row r="191" ht="16.5" customHeight="1" spans="2:8">
      <c r="B191" s="145"/>
      <c r="C191" s="146" t="s">
        <v>818</v>
      </c>
      <c r="D191" s="145"/>
      <c r="E191" s="205"/>
      <c r="F191" s="148"/>
      <c r="G191" s="144"/>
      <c r="H191" s="148">
        <f>ROUND(SUM(H189:H190),0)</f>
        <v>13392900</v>
      </c>
    </row>
    <row r="192" ht="16.5" customHeight="1" spans="1:8">
      <c r="A192" s="171"/>
      <c r="B192" s="172"/>
      <c r="C192" s="173" t="s">
        <v>787</v>
      </c>
      <c r="D192" s="172"/>
      <c r="E192" s="174"/>
      <c r="F192" s="175"/>
      <c r="G192" s="176"/>
      <c r="H192" s="175">
        <f>ROUND(H193,0)</f>
        <v>2537469</v>
      </c>
    </row>
    <row r="193" ht="16.5" customHeight="1" spans="2:8">
      <c r="B193" s="145" t="s">
        <v>596</v>
      </c>
      <c r="C193" s="146" t="s">
        <v>597</v>
      </c>
      <c r="D193" s="145" t="s">
        <v>594</v>
      </c>
      <c r="E193" s="177">
        <v>11.32</v>
      </c>
      <c r="F193" s="148">
        <v>224158</v>
      </c>
      <c r="G193" s="178">
        <v>1</v>
      </c>
      <c r="H193" s="148">
        <f>ROUND(E193*F193*G193,0)</f>
        <v>2537469</v>
      </c>
    </row>
    <row r="194" ht="16.5" customHeight="1" spans="1:8">
      <c r="A194" s="171"/>
      <c r="B194" s="172"/>
      <c r="C194" s="173" t="s">
        <v>788</v>
      </c>
      <c r="D194" s="172"/>
      <c r="E194" s="174"/>
      <c r="F194" s="175"/>
      <c r="G194" s="176"/>
      <c r="H194" s="175">
        <f>ROUND(H195,0)</f>
        <v>96180</v>
      </c>
    </row>
    <row r="195" ht="16.5" customHeight="1" spans="2:8">
      <c r="B195" s="145" t="s">
        <v>621</v>
      </c>
      <c r="C195" s="146" t="s">
        <v>622</v>
      </c>
      <c r="D195" s="145" t="s">
        <v>612</v>
      </c>
      <c r="E195" s="177">
        <v>0.4</v>
      </c>
      <c r="F195" s="148">
        <v>240449</v>
      </c>
      <c r="G195" s="178">
        <v>1</v>
      </c>
      <c r="H195" s="148">
        <f>ROUND(E195*F195*G195,0)</f>
        <v>96180</v>
      </c>
    </row>
    <row r="196" ht="27.75" customHeight="1" spans="1:8">
      <c r="A196" s="179"/>
      <c r="B196" s="180"/>
      <c r="C196" s="181" t="s">
        <v>804</v>
      </c>
      <c r="D196" s="180" t="s">
        <v>805</v>
      </c>
      <c r="E196" s="182"/>
      <c r="F196" s="183"/>
      <c r="G196" s="184"/>
      <c r="H196" s="183">
        <f>ROUND(H188+H192+H194,0)</f>
        <v>16026549</v>
      </c>
    </row>
    <row r="197" ht="16.5" customHeight="1" spans="1:8">
      <c r="A197" s="185"/>
      <c r="B197" s="186"/>
      <c r="C197" s="187" t="s">
        <v>806</v>
      </c>
      <c r="D197" s="186" t="s">
        <v>807</v>
      </c>
      <c r="E197" s="188" t="s">
        <v>808</v>
      </c>
      <c r="F197" s="189"/>
      <c r="G197" s="190"/>
      <c r="H197" s="189">
        <v>913513</v>
      </c>
    </row>
    <row r="198" ht="25.5" customHeight="1" spans="1:8">
      <c r="A198" s="185"/>
      <c r="B198" s="186"/>
      <c r="C198" s="187" t="s">
        <v>809</v>
      </c>
      <c r="D198" s="186" t="s">
        <v>810</v>
      </c>
      <c r="E198" s="188" t="s">
        <v>811</v>
      </c>
      <c r="F198" s="189"/>
      <c r="G198" s="190"/>
      <c r="H198" s="189">
        <v>931703</v>
      </c>
    </row>
    <row r="199" ht="28.5" customHeight="1" spans="1:8">
      <c r="A199" s="191"/>
      <c r="B199" s="192"/>
      <c r="C199" s="193" t="s">
        <v>812</v>
      </c>
      <c r="D199" s="192" t="s">
        <v>813</v>
      </c>
      <c r="E199" s="194"/>
      <c r="F199" s="195"/>
      <c r="G199" s="196"/>
      <c r="H199" s="195">
        <f>ROUND(H196+H197+H198,0)</f>
        <v>17871765</v>
      </c>
    </row>
    <row r="200" ht="25.5" customHeight="1" spans="1:8">
      <c r="A200" s="185"/>
      <c r="B200" s="186"/>
      <c r="C200" s="187" t="s">
        <v>814</v>
      </c>
      <c r="D200" s="186" t="s">
        <v>815</v>
      </c>
      <c r="E200" s="197">
        <v>0.1</v>
      </c>
      <c r="F200" s="189"/>
      <c r="G200" s="190"/>
      <c r="H200" s="189">
        <f>ROUND(E200*H199,0)</f>
        <v>1787177</v>
      </c>
    </row>
    <row r="201" ht="30.75" customHeight="1" spans="1:8">
      <c r="A201" s="198"/>
      <c r="B201" s="199"/>
      <c r="C201" s="200" t="s">
        <v>816</v>
      </c>
      <c r="D201" s="199" t="s">
        <v>817</v>
      </c>
      <c r="E201" s="201"/>
      <c r="F201" s="202"/>
      <c r="G201" s="203"/>
      <c r="H201" s="204">
        <f>ROUND(H199+H200,0)</f>
        <v>19658942</v>
      </c>
    </row>
    <row r="202" ht="54.75" customHeight="1" spans="1:8">
      <c r="A202" s="166">
        <v>15</v>
      </c>
      <c r="B202" s="167" t="s">
        <v>122</v>
      </c>
      <c r="C202" s="168" t="s">
        <v>141</v>
      </c>
      <c r="D202" s="167" t="s">
        <v>114</v>
      </c>
      <c r="E202" s="169">
        <v>1</v>
      </c>
      <c r="F202" s="170"/>
      <c r="G202" s="166"/>
      <c r="H202" s="170"/>
    </row>
    <row r="203" ht="16.5" customHeight="1" spans="1:8">
      <c r="A203" s="171"/>
      <c r="B203" s="172"/>
      <c r="C203" s="173" t="s">
        <v>789</v>
      </c>
      <c r="D203" s="172"/>
      <c r="E203" s="174"/>
      <c r="F203" s="175"/>
      <c r="G203" s="176"/>
      <c r="H203" s="175">
        <f>ROUND(H207,0)</f>
        <v>13943472</v>
      </c>
    </row>
    <row r="204" ht="16.5" customHeight="1" spans="2:8">
      <c r="B204" s="145" t="s">
        <v>575</v>
      </c>
      <c r="C204" s="146" t="s">
        <v>576</v>
      </c>
      <c r="D204" s="145" t="s">
        <v>518</v>
      </c>
      <c r="E204" s="177">
        <v>1020</v>
      </c>
      <c r="F204" s="148">
        <v>13300</v>
      </c>
      <c r="G204" s="144"/>
      <c r="H204" s="148">
        <f>ROUND(E204*F204,0)</f>
        <v>13566000</v>
      </c>
    </row>
    <row r="205" ht="16.5" customHeight="1" spans="2:8">
      <c r="B205" s="145" t="s">
        <v>521</v>
      </c>
      <c r="C205" s="146" t="s">
        <v>522</v>
      </c>
      <c r="D205" s="145" t="s">
        <v>518</v>
      </c>
      <c r="E205" s="177">
        <v>14.28</v>
      </c>
      <c r="F205" s="148">
        <v>20000</v>
      </c>
      <c r="G205" s="144"/>
      <c r="H205" s="148">
        <f>ROUND(E205*F205,0)</f>
        <v>285600</v>
      </c>
    </row>
    <row r="206" ht="16.5" customHeight="1" spans="2:8">
      <c r="B206" s="145" t="s">
        <v>569</v>
      </c>
      <c r="C206" s="146" t="s">
        <v>570</v>
      </c>
      <c r="D206" s="145" t="s">
        <v>518</v>
      </c>
      <c r="E206" s="177">
        <v>4.64</v>
      </c>
      <c r="F206" s="148">
        <v>19800</v>
      </c>
      <c r="G206" s="144"/>
      <c r="H206" s="148">
        <f>ROUND(E206*F206,0)</f>
        <v>91872</v>
      </c>
    </row>
    <row r="207" ht="16.5" customHeight="1" spans="2:8">
      <c r="B207" s="145"/>
      <c r="C207" s="146" t="s">
        <v>818</v>
      </c>
      <c r="D207" s="145"/>
      <c r="E207" s="205"/>
      <c r="F207" s="148"/>
      <c r="G207" s="144"/>
      <c r="H207" s="148">
        <f>ROUND(SUM(H204:H206),0)</f>
        <v>13943472</v>
      </c>
    </row>
    <row r="208" ht="16.5" customHeight="1" spans="1:8">
      <c r="A208" s="171"/>
      <c r="B208" s="172"/>
      <c r="C208" s="173" t="s">
        <v>787</v>
      </c>
      <c r="D208" s="172"/>
      <c r="E208" s="174"/>
      <c r="F208" s="175"/>
      <c r="G208" s="176"/>
      <c r="H208" s="175">
        <f>ROUND(H209,0)</f>
        <v>1869478</v>
      </c>
    </row>
    <row r="209" ht="16.5" customHeight="1" spans="2:8">
      <c r="B209" s="145" t="s">
        <v>596</v>
      </c>
      <c r="C209" s="146" t="s">
        <v>597</v>
      </c>
      <c r="D209" s="145" t="s">
        <v>594</v>
      </c>
      <c r="E209" s="177">
        <v>8.34</v>
      </c>
      <c r="F209" s="148">
        <v>224158</v>
      </c>
      <c r="G209" s="178">
        <v>1</v>
      </c>
      <c r="H209" s="148">
        <f>ROUND(E209*F209*G209,0)</f>
        <v>1869478</v>
      </c>
    </row>
    <row r="210" ht="16.5" customHeight="1" spans="1:8">
      <c r="A210" s="171"/>
      <c r="B210" s="172"/>
      <c r="C210" s="173" t="s">
        <v>788</v>
      </c>
      <c r="D210" s="172"/>
      <c r="E210" s="174"/>
      <c r="F210" s="175"/>
      <c r="G210" s="176"/>
      <c r="H210" s="175">
        <f>ROUND(H213,0)</f>
        <v>481415</v>
      </c>
    </row>
    <row r="211" ht="16.5" customHeight="1" spans="2:8">
      <c r="B211" s="145" t="s">
        <v>636</v>
      </c>
      <c r="C211" s="146" t="s">
        <v>637</v>
      </c>
      <c r="D211" s="145" t="s">
        <v>612</v>
      </c>
      <c r="E211" s="177">
        <v>1.12</v>
      </c>
      <c r="F211" s="148">
        <v>361135</v>
      </c>
      <c r="G211" s="178">
        <v>1</v>
      </c>
      <c r="H211" s="148">
        <f>ROUND(E211*F211*G211,0)</f>
        <v>404471</v>
      </c>
    </row>
    <row r="212" ht="16.5" customHeight="1" spans="2:8">
      <c r="B212" s="145" t="s">
        <v>621</v>
      </c>
      <c r="C212" s="146" t="s">
        <v>622</v>
      </c>
      <c r="D212" s="145" t="s">
        <v>612</v>
      </c>
      <c r="E212" s="177">
        <v>0.32</v>
      </c>
      <c r="F212" s="148">
        <v>240449</v>
      </c>
      <c r="G212" s="178">
        <v>1</v>
      </c>
      <c r="H212" s="148">
        <f>ROUND(E212*F212*G212,0)</f>
        <v>76944</v>
      </c>
    </row>
    <row r="213" ht="16.5" customHeight="1" spans="2:8">
      <c r="B213" s="145"/>
      <c r="C213" s="146" t="s">
        <v>818</v>
      </c>
      <c r="D213" s="145"/>
      <c r="E213" s="205"/>
      <c r="F213" s="148"/>
      <c r="G213" s="144"/>
      <c r="H213" s="148">
        <f>ROUND(SUM(H211:H212),0)</f>
        <v>481415</v>
      </c>
    </row>
    <row r="214" ht="27.75" customHeight="1" spans="1:8">
      <c r="A214" s="179"/>
      <c r="B214" s="180"/>
      <c r="C214" s="181" t="s">
        <v>804</v>
      </c>
      <c r="D214" s="180" t="s">
        <v>805</v>
      </c>
      <c r="E214" s="182"/>
      <c r="F214" s="183"/>
      <c r="G214" s="184"/>
      <c r="H214" s="183">
        <f>ROUND(H203+H208+H210,0)</f>
        <v>16294365</v>
      </c>
    </row>
    <row r="215" ht="16.5" customHeight="1" spans="1:8">
      <c r="A215" s="185"/>
      <c r="B215" s="186"/>
      <c r="C215" s="187" t="s">
        <v>806</v>
      </c>
      <c r="D215" s="186" t="s">
        <v>807</v>
      </c>
      <c r="E215" s="188" t="s">
        <v>808</v>
      </c>
      <c r="F215" s="189"/>
      <c r="G215" s="190"/>
      <c r="H215" s="189">
        <v>928779</v>
      </c>
    </row>
    <row r="216" ht="25.5" customHeight="1" spans="1:8">
      <c r="A216" s="185"/>
      <c r="B216" s="186"/>
      <c r="C216" s="187" t="s">
        <v>809</v>
      </c>
      <c r="D216" s="186" t="s">
        <v>810</v>
      </c>
      <c r="E216" s="188" t="s">
        <v>811</v>
      </c>
      <c r="F216" s="189"/>
      <c r="G216" s="190"/>
      <c r="H216" s="189">
        <v>947273</v>
      </c>
    </row>
    <row r="217" ht="28.5" customHeight="1" spans="1:8">
      <c r="A217" s="191"/>
      <c r="B217" s="192"/>
      <c r="C217" s="193" t="s">
        <v>812</v>
      </c>
      <c r="D217" s="192" t="s">
        <v>813</v>
      </c>
      <c r="E217" s="194"/>
      <c r="F217" s="195"/>
      <c r="G217" s="196"/>
      <c r="H217" s="195">
        <f>ROUND(H214+H215+H216,0)</f>
        <v>18170417</v>
      </c>
    </row>
    <row r="218" ht="25.5" customHeight="1" spans="1:8">
      <c r="A218" s="185"/>
      <c r="B218" s="186"/>
      <c r="C218" s="187" t="s">
        <v>814</v>
      </c>
      <c r="D218" s="186" t="s">
        <v>815</v>
      </c>
      <c r="E218" s="197">
        <v>0.1</v>
      </c>
      <c r="F218" s="189"/>
      <c r="G218" s="190"/>
      <c r="H218" s="189">
        <f>ROUND(E218*H217,0)</f>
        <v>1817042</v>
      </c>
    </row>
    <row r="219" ht="30.75" customHeight="1" spans="1:8">
      <c r="A219" s="198"/>
      <c r="B219" s="199"/>
      <c r="C219" s="200" t="s">
        <v>816</v>
      </c>
      <c r="D219" s="199" t="s">
        <v>817</v>
      </c>
      <c r="E219" s="201"/>
      <c r="F219" s="202"/>
      <c r="G219" s="203"/>
      <c r="H219" s="204">
        <f>ROUND(H217+H218,0)</f>
        <v>19987459</v>
      </c>
    </row>
    <row r="220" ht="54.75" customHeight="1" spans="1:8">
      <c r="A220" s="166">
        <v>16</v>
      </c>
      <c r="B220" s="167" t="s">
        <v>147</v>
      </c>
      <c r="C220" s="168" t="s">
        <v>148</v>
      </c>
      <c r="D220" s="167" t="s">
        <v>114</v>
      </c>
      <c r="E220" s="169">
        <v>1</v>
      </c>
      <c r="F220" s="170"/>
      <c r="G220" s="166"/>
      <c r="H220" s="170"/>
    </row>
    <row r="221" ht="16.5" customHeight="1" spans="1:8">
      <c r="A221" s="171"/>
      <c r="B221" s="172"/>
      <c r="C221" s="173" t="s">
        <v>789</v>
      </c>
      <c r="D221" s="172"/>
      <c r="E221" s="174"/>
      <c r="F221" s="175"/>
      <c r="G221" s="176"/>
      <c r="H221" s="175">
        <f>ROUND(H225,0)</f>
        <v>13956540</v>
      </c>
    </row>
    <row r="222" ht="16.5" customHeight="1" spans="2:8">
      <c r="B222" s="145" t="s">
        <v>578</v>
      </c>
      <c r="C222" s="146" t="s">
        <v>579</v>
      </c>
      <c r="D222" s="145" t="s">
        <v>518</v>
      </c>
      <c r="E222" s="177">
        <v>1020</v>
      </c>
      <c r="F222" s="148">
        <v>13300</v>
      </c>
      <c r="G222" s="144"/>
      <c r="H222" s="148">
        <f>ROUND(E222*F222,0)</f>
        <v>13566000</v>
      </c>
    </row>
    <row r="223" ht="16.5" customHeight="1" spans="2:8">
      <c r="B223" s="145" t="s">
        <v>521</v>
      </c>
      <c r="C223" s="146" t="s">
        <v>522</v>
      </c>
      <c r="D223" s="145" t="s">
        <v>518</v>
      </c>
      <c r="E223" s="177">
        <v>14.28</v>
      </c>
      <c r="F223" s="148">
        <v>20000</v>
      </c>
      <c r="G223" s="144"/>
      <c r="H223" s="148">
        <f>ROUND(E223*F223,0)</f>
        <v>285600</v>
      </c>
    </row>
    <row r="224" ht="16.5" customHeight="1" spans="2:8">
      <c r="B224" s="145" t="s">
        <v>569</v>
      </c>
      <c r="C224" s="146" t="s">
        <v>570</v>
      </c>
      <c r="D224" s="145" t="s">
        <v>518</v>
      </c>
      <c r="E224" s="177">
        <v>5.3</v>
      </c>
      <c r="F224" s="148">
        <v>19800</v>
      </c>
      <c r="G224" s="144"/>
      <c r="H224" s="148">
        <f>ROUND(E224*F224,0)</f>
        <v>104940</v>
      </c>
    </row>
    <row r="225" ht="16.5" customHeight="1" spans="2:8">
      <c r="B225" s="145"/>
      <c r="C225" s="146" t="s">
        <v>818</v>
      </c>
      <c r="D225" s="145"/>
      <c r="E225" s="205"/>
      <c r="F225" s="148"/>
      <c r="G225" s="144"/>
      <c r="H225" s="148">
        <f>ROUND(SUM(H222:H224),0)</f>
        <v>13956540</v>
      </c>
    </row>
    <row r="226" ht="16.5" customHeight="1" spans="1:8">
      <c r="A226" s="171"/>
      <c r="B226" s="172"/>
      <c r="C226" s="173" t="s">
        <v>787</v>
      </c>
      <c r="D226" s="172"/>
      <c r="E226" s="174"/>
      <c r="F226" s="175"/>
      <c r="G226" s="176"/>
      <c r="H226" s="175">
        <f>ROUND(H227,0)</f>
        <v>1423403</v>
      </c>
    </row>
    <row r="227" ht="16.5" customHeight="1" spans="2:8">
      <c r="B227" s="145" t="s">
        <v>596</v>
      </c>
      <c r="C227" s="146" t="s">
        <v>597</v>
      </c>
      <c r="D227" s="145" t="s">
        <v>594</v>
      </c>
      <c r="E227" s="177">
        <v>6.35</v>
      </c>
      <c r="F227" s="148">
        <v>224158</v>
      </c>
      <c r="G227" s="178">
        <v>1</v>
      </c>
      <c r="H227" s="148">
        <f>ROUND(E227*F227*G227,0)</f>
        <v>1423403</v>
      </c>
    </row>
    <row r="228" ht="16.5" customHeight="1" spans="1:8">
      <c r="A228" s="171"/>
      <c r="B228" s="172"/>
      <c r="C228" s="173" t="s">
        <v>788</v>
      </c>
      <c r="D228" s="172"/>
      <c r="E228" s="174"/>
      <c r="F228" s="175"/>
      <c r="G228" s="176"/>
      <c r="H228" s="175">
        <f>ROUND(H231,0)</f>
        <v>497113</v>
      </c>
    </row>
    <row r="229" ht="16.5" customHeight="1" spans="2:8">
      <c r="B229" s="145" t="s">
        <v>636</v>
      </c>
      <c r="C229" s="146" t="s">
        <v>637</v>
      </c>
      <c r="D229" s="145" t="s">
        <v>612</v>
      </c>
      <c r="E229" s="177">
        <v>1.27</v>
      </c>
      <c r="F229" s="148">
        <v>361135</v>
      </c>
      <c r="G229" s="178">
        <v>1</v>
      </c>
      <c r="H229" s="148">
        <f>ROUND(E229*F229*G229,0)</f>
        <v>458641</v>
      </c>
    </row>
    <row r="230" ht="16.5" customHeight="1" spans="2:8">
      <c r="B230" s="145" t="s">
        <v>621</v>
      </c>
      <c r="C230" s="146" t="s">
        <v>622</v>
      </c>
      <c r="D230" s="145" t="s">
        <v>612</v>
      </c>
      <c r="E230" s="177">
        <v>0.16</v>
      </c>
      <c r="F230" s="148">
        <v>240449</v>
      </c>
      <c r="G230" s="178">
        <v>1</v>
      </c>
      <c r="H230" s="148">
        <f>ROUND(E230*F230*G230,0)</f>
        <v>38472</v>
      </c>
    </row>
    <row r="231" ht="16.5" customHeight="1" spans="2:8">
      <c r="B231" s="145"/>
      <c r="C231" s="146" t="s">
        <v>818</v>
      </c>
      <c r="D231" s="145"/>
      <c r="E231" s="205"/>
      <c r="F231" s="148"/>
      <c r="G231" s="144"/>
      <c r="H231" s="148">
        <f>ROUND(SUM(H229:H230),0)</f>
        <v>497113</v>
      </c>
    </row>
    <row r="232" ht="27.75" customHeight="1" spans="1:8">
      <c r="A232" s="179"/>
      <c r="B232" s="180"/>
      <c r="C232" s="181" t="s">
        <v>804</v>
      </c>
      <c r="D232" s="180" t="s">
        <v>805</v>
      </c>
      <c r="E232" s="182"/>
      <c r="F232" s="183"/>
      <c r="G232" s="184"/>
      <c r="H232" s="183">
        <f>ROUND(H221+H226+H228,0)</f>
        <v>15877056</v>
      </c>
    </row>
    <row r="233" ht="16.5" customHeight="1" spans="1:8">
      <c r="A233" s="185"/>
      <c r="B233" s="186"/>
      <c r="C233" s="187" t="s">
        <v>806</v>
      </c>
      <c r="D233" s="186" t="s">
        <v>807</v>
      </c>
      <c r="E233" s="188" t="s">
        <v>808</v>
      </c>
      <c r="F233" s="189"/>
      <c r="G233" s="190"/>
      <c r="H233" s="189">
        <v>904992</v>
      </c>
    </row>
    <row r="234" ht="25.5" customHeight="1" spans="1:8">
      <c r="A234" s="185"/>
      <c r="B234" s="186"/>
      <c r="C234" s="187" t="s">
        <v>809</v>
      </c>
      <c r="D234" s="186" t="s">
        <v>810</v>
      </c>
      <c r="E234" s="188" t="s">
        <v>811</v>
      </c>
      <c r="F234" s="189"/>
      <c r="G234" s="190"/>
      <c r="H234" s="189">
        <v>923013</v>
      </c>
    </row>
    <row r="235" ht="28.5" customHeight="1" spans="1:8">
      <c r="A235" s="191"/>
      <c r="B235" s="192"/>
      <c r="C235" s="193" t="s">
        <v>812</v>
      </c>
      <c r="D235" s="192" t="s">
        <v>813</v>
      </c>
      <c r="E235" s="194"/>
      <c r="F235" s="195"/>
      <c r="G235" s="196"/>
      <c r="H235" s="195">
        <f>ROUND(H232+H233+H234,0)</f>
        <v>17705061</v>
      </c>
    </row>
    <row r="236" ht="25.5" customHeight="1" spans="1:8">
      <c r="A236" s="185"/>
      <c r="B236" s="186"/>
      <c r="C236" s="187" t="s">
        <v>814</v>
      </c>
      <c r="D236" s="186" t="s">
        <v>815</v>
      </c>
      <c r="E236" s="197">
        <v>0.1</v>
      </c>
      <c r="F236" s="189"/>
      <c r="G236" s="190"/>
      <c r="H236" s="189">
        <f>ROUND(E236*H235,0)</f>
        <v>1770506</v>
      </c>
    </row>
    <row r="237" ht="30.75" customHeight="1" spans="1:8">
      <c r="A237" s="198"/>
      <c r="B237" s="199"/>
      <c r="C237" s="200" t="s">
        <v>816</v>
      </c>
      <c r="D237" s="199" t="s">
        <v>817</v>
      </c>
      <c r="E237" s="201"/>
      <c r="F237" s="202"/>
      <c r="G237" s="203"/>
      <c r="H237" s="204">
        <f>ROUND(H235+H236,0)</f>
        <v>19475567</v>
      </c>
    </row>
    <row r="238" ht="67.5" customHeight="1" spans="1:8">
      <c r="A238" s="166">
        <v>17</v>
      </c>
      <c r="B238" s="167" t="s">
        <v>155</v>
      </c>
      <c r="C238" s="168" t="s">
        <v>157</v>
      </c>
      <c r="D238" s="167" t="s">
        <v>55</v>
      </c>
      <c r="E238" s="169">
        <v>1</v>
      </c>
      <c r="F238" s="170"/>
      <c r="G238" s="166"/>
      <c r="H238" s="170"/>
    </row>
    <row r="239" ht="16.5" customHeight="1" spans="1:8">
      <c r="A239" s="171"/>
      <c r="B239" s="172"/>
      <c r="C239" s="173" t="s">
        <v>789</v>
      </c>
      <c r="D239" s="172"/>
      <c r="E239" s="174"/>
      <c r="F239" s="175"/>
      <c r="G239" s="176"/>
      <c r="H239" s="175">
        <f>ROUND(H242,0)</f>
        <v>1127665</v>
      </c>
    </row>
    <row r="240" ht="29.25" customHeight="1" spans="2:8">
      <c r="B240" s="145" t="s">
        <v>156</v>
      </c>
      <c r="C240" s="146" t="s">
        <v>585</v>
      </c>
      <c r="D240" s="145" t="s">
        <v>55</v>
      </c>
      <c r="E240" s="177">
        <v>1.015</v>
      </c>
      <c r="F240" s="148">
        <v>1100000</v>
      </c>
      <c r="G240" s="144"/>
      <c r="H240" s="148">
        <f>ROUND(E240*F240,0)</f>
        <v>1116500</v>
      </c>
    </row>
    <row r="241" ht="16.5" customHeight="1" spans="2:8">
      <c r="B241" s="145" t="s">
        <v>793</v>
      </c>
      <c r="C241" s="146" t="s">
        <v>794</v>
      </c>
      <c r="D241" s="145" t="s">
        <v>792</v>
      </c>
      <c r="E241" s="177">
        <v>1</v>
      </c>
      <c r="F241" s="148">
        <f>ROUND(SUM(H240:H240)/100,0)</f>
        <v>11165</v>
      </c>
      <c r="G241" s="144"/>
      <c r="H241" s="148">
        <f>ROUND(E241*F241,0)</f>
        <v>11165</v>
      </c>
    </row>
    <row r="242" ht="16.5" customHeight="1" spans="2:8">
      <c r="B242" s="145"/>
      <c r="C242" s="146" t="s">
        <v>818</v>
      </c>
      <c r="D242" s="145"/>
      <c r="E242" s="205"/>
      <c r="F242" s="148"/>
      <c r="G242" s="144"/>
      <c r="H242" s="148">
        <f>ROUND(SUM(H240:H241),0)</f>
        <v>1127665</v>
      </c>
    </row>
    <row r="243" ht="16.5" customHeight="1" spans="1:8">
      <c r="A243" s="171"/>
      <c r="B243" s="172"/>
      <c r="C243" s="173" t="s">
        <v>787</v>
      </c>
      <c r="D243" s="172"/>
      <c r="E243" s="174"/>
      <c r="F243" s="175"/>
      <c r="G243" s="176"/>
      <c r="H243" s="175">
        <f>ROUND(H244,0)</f>
        <v>174757</v>
      </c>
    </row>
    <row r="244" ht="16.5" customHeight="1" spans="2:8">
      <c r="B244" s="145" t="s">
        <v>592</v>
      </c>
      <c r="C244" s="146" t="s">
        <v>593</v>
      </c>
      <c r="D244" s="145" t="s">
        <v>594</v>
      </c>
      <c r="E244" s="177">
        <v>0.85</v>
      </c>
      <c r="F244" s="148">
        <v>205597</v>
      </c>
      <c r="G244" s="178">
        <v>1</v>
      </c>
      <c r="H244" s="148">
        <f>ROUND(E244*F244*G244,0)</f>
        <v>174757</v>
      </c>
    </row>
    <row r="245" ht="16.5" customHeight="1" spans="1:8">
      <c r="A245" s="171"/>
      <c r="B245" s="172"/>
      <c r="C245" s="173" t="s">
        <v>788</v>
      </c>
      <c r="D245" s="172"/>
      <c r="E245" s="174"/>
      <c r="F245" s="175"/>
      <c r="G245" s="176"/>
      <c r="H245" s="175">
        <f>ROUND(H249,0)</f>
        <v>155333</v>
      </c>
    </row>
    <row r="246" ht="16.5" customHeight="1" spans="2:8">
      <c r="B246" s="145" t="s">
        <v>660</v>
      </c>
      <c r="C246" s="146" t="s">
        <v>661</v>
      </c>
      <c r="D246" s="145" t="s">
        <v>612</v>
      </c>
      <c r="E246" s="177">
        <v>0.033</v>
      </c>
      <c r="F246" s="148">
        <v>4019344</v>
      </c>
      <c r="G246" s="178">
        <v>1</v>
      </c>
      <c r="H246" s="148">
        <f>ROUND(E246*F246*G246,0)</f>
        <v>132638</v>
      </c>
    </row>
    <row r="247" ht="16.5" customHeight="1" spans="2:8">
      <c r="B247" s="145" t="s">
        <v>633</v>
      </c>
      <c r="C247" s="146" t="s">
        <v>634</v>
      </c>
      <c r="D247" s="145" t="s">
        <v>612</v>
      </c>
      <c r="E247" s="177">
        <v>0.089</v>
      </c>
      <c r="F247" s="148">
        <v>237717</v>
      </c>
      <c r="G247" s="178">
        <v>1</v>
      </c>
      <c r="H247" s="148">
        <f>ROUND(E247*F247*G247,0)</f>
        <v>21157</v>
      </c>
    </row>
    <row r="248" ht="16.5" customHeight="1" spans="2:8">
      <c r="B248" s="145" t="s">
        <v>790</v>
      </c>
      <c r="C248" s="146" t="s">
        <v>791</v>
      </c>
      <c r="D248" s="145" t="s">
        <v>792</v>
      </c>
      <c r="E248" s="177">
        <v>1</v>
      </c>
      <c r="F248" s="148">
        <f>ROUND(SUM(H246:H247)/100,0)</f>
        <v>1538</v>
      </c>
      <c r="G248" s="144"/>
      <c r="H248" s="148">
        <f>ROUND(E248*F248,0)</f>
        <v>1538</v>
      </c>
    </row>
    <row r="249" ht="16.5" customHeight="1" spans="2:8">
      <c r="B249" s="145"/>
      <c r="C249" s="146" t="s">
        <v>818</v>
      </c>
      <c r="D249" s="145"/>
      <c r="E249" s="205"/>
      <c r="F249" s="148"/>
      <c r="G249" s="144"/>
      <c r="H249" s="148">
        <f>ROUND(SUM(H246:H248),0)</f>
        <v>155333</v>
      </c>
    </row>
    <row r="250" ht="27.75" customHeight="1" spans="1:8">
      <c r="A250" s="179"/>
      <c r="B250" s="180"/>
      <c r="C250" s="181" t="s">
        <v>804</v>
      </c>
      <c r="D250" s="180" t="s">
        <v>805</v>
      </c>
      <c r="E250" s="182"/>
      <c r="F250" s="183"/>
      <c r="G250" s="184"/>
      <c r="H250" s="183">
        <f>ROUND(H239+H243+H245,0)</f>
        <v>1457755</v>
      </c>
    </row>
    <row r="251" ht="16.5" customHeight="1" spans="1:8">
      <c r="A251" s="185"/>
      <c r="B251" s="186"/>
      <c r="C251" s="187" t="s">
        <v>806</v>
      </c>
      <c r="D251" s="186" t="s">
        <v>807</v>
      </c>
      <c r="E251" s="188" t="s">
        <v>808</v>
      </c>
      <c r="F251" s="189"/>
      <c r="G251" s="190"/>
      <c r="H251" s="189">
        <v>83092</v>
      </c>
    </row>
    <row r="252" ht="25.5" customHeight="1" spans="1:8">
      <c r="A252" s="185"/>
      <c r="B252" s="186"/>
      <c r="C252" s="187" t="s">
        <v>809</v>
      </c>
      <c r="D252" s="186" t="s">
        <v>810</v>
      </c>
      <c r="E252" s="188" t="s">
        <v>811</v>
      </c>
      <c r="F252" s="189"/>
      <c r="G252" s="190"/>
      <c r="H252" s="189">
        <v>84747</v>
      </c>
    </row>
    <row r="253" ht="28.5" customHeight="1" spans="1:8">
      <c r="A253" s="191"/>
      <c r="B253" s="192"/>
      <c r="C253" s="193" t="s">
        <v>812</v>
      </c>
      <c r="D253" s="192" t="s">
        <v>813</v>
      </c>
      <c r="E253" s="194"/>
      <c r="F253" s="195"/>
      <c r="G253" s="196"/>
      <c r="H253" s="195">
        <f>ROUND(H250+H251+H252,0)</f>
        <v>1625594</v>
      </c>
    </row>
    <row r="254" ht="25.5" customHeight="1" spans="1:8">
      <c r="A254" s="185"/>
      <c r="B254" s="186"/>
      <c r="C254" s="187" t="s">
        <v>814</v>
      </c>
      <c r="D254" s="186" t="s">
        <v>815</v>
      </c>
      <c r="E254" s="197">
        <v>0.1</v>
      </c>
      <c r="F254" s="189"/>
      <c r="G254" s="190"/>
      <c r="H254" s="189">
        <f>ROUND(E254*H253,0)</f>
        <v>162559</v>
      </c>
    </row>
    <row r="255" ht="30.75" customHeight="1" spans="1:8">
      <c r="A255" s="198"/>
      <c r="B255" s="199"/>
      <c r="C255" s="200" t="s">
        <v>816</v>
      </c>
      <c r="D255" s="199" t="s">
        <v>817</v>
      </c>
      <c r="E255" s="201"/>
      <c r="F255" s="202"/>
      <c r="G255" s="203"/>
      <c r="H255" s="204">
        <f>ROUND(H253+H254,0)</f>
        <v>1788153</v>
      </c>
    </row>
    <row r="256" ht="67.5" customHeight="1" spans="1:8">
      <c r="A256" s="166">
        <v>18</v>
      </c>
      <c r="B256" s="167" t="s">
        <v>155</v>
      </c>
      <c r="C256" s="168" t="s">
        <v>162</v>
      </c>
      <c r="D256" s="167" t="s">
        <v>55</v>
      </c>
      <c r="E256" s="169">
        <v>1</v>
      </c>
      <c r="F256" s="170"/>
      <c r="G256" s="166"/>
      <c r="H256" s="170"/>
    </row>
    <row r="257" ht="16.5" customHeight="1" spans="1:8">
      <c r="A257" s="171"/>
      <c r="B257" s="172"/>
      <c r="C257" s="173" t="s">
        <v>789</v>
      </c>
      <c r="D257" s="172"/>
      <c r="E257" s="174"/>
      <c r="F257" s="175"/>
      <c r="G257" s="176"/>
      <c r="H257" s="175">
        <f>ROUND(H260,0)</f>
        <v>1127665</v>
      </c>
    </row>
    <row r="258" ht="29.25" customHeight="1" spans="2:8">
      <c r="B258" s="145" t="s">
        <v>156</v>
      </c>
      <c r="C258" s="146" t="s">
        <v>585</v>
      </c>
      <c r="D258" s="145" t="s">
        <v>55</v>
      </c>
      <c r="E258" s="177">
        <v>1.015</v>
      </c>
      <c r="F258" s="148">
        <v>1100000</v>
      </c>
      <c r="G258" s="144"/>
      <c r="H258" s="148">
        <f>ROUND(E258*F258,0)</f>
        <v>1116500</v>
      </c>
    </row>
    <row r="259" ht="16.5" customHeight="1" spans="2:8">
      <c r="B259" s="145" t="s">
        <v>793</v>
      </c>
      <c r="C259" s="146" t="s">
        <v>794</v>
      </c>
      <c r="D259" s="145" t="s">
        <v>792</v>
      </c>
      <c r="E259" s="177">
        <v>1</v>
      </c>
      <c r="F259" s="148">
        <f>ROUND(SUM(H258:H258)/100,0)</f>
        <v>11165</v>
      </c>
      <c r="G259" s="144"/>
      <c r="H259" s="148">
        <f>ROUND(E259*F259,0)</f>
        <v>11165</v>
      </c>
    </row>
    <row r="260" ht="16.5" customHeight="1" spans="2:8">
      <c r="B260" s="145"/>
      <c r="C260" s="146" t="s">
        <v>818</v>
      </c>
      <c r="D260" s="145"/>
      <c r="E260" s="205"/>
      <c r="F260" s="148"/>
      <c r="G260" s="144"/>
      <c r="H260" s="148">
        <f>ROUND(SUM(H258:H259),0)</f>
        <v>1127665</v>
      </c>
    </row>
    <row r="261" ht="16.5" customHeight="1" spans="1:8">
      <c r="A261" s="171"/>
      <c r="B261" s="172"/>
      <c r="C261" s="173" t="s">
        <v>787</v>
      </c>
      <c r="D261" s="172"/>
      <c r="E261" s="174"/>
      <c r="F261" s="175"/>
      <c r="G261" s="176"/>
      <c r="H261" s="175">
        <f>ROUND(H262,0)</f>
        <v>174757</v>
      </c>
    </row>
    <row r="262" ht="16.5" customHeight="1" spans="2:8">
      <c r="B262" s="145" t="s">
        <v>592</v>
      </c>
      <c r="C262" s="146" t="s">
        <v>593</v>
      </c>
      <c r="D262" s="145" t="s">
        <v>594</v>
      </c>
      <c r="E262" s="177">
        <v>0.85</v>
      </c>
      <c r="F262" s="148">
        <v>205597</v>
      </c>
      <c r="G262" s="178">
        <v>1</v>
      </c>
      <c r="H262" s="148">
        <f>ROUND(E262*F262*G262,0)</f>
        <v>174757</v>
      </c>
    </row>
    <row r="263" ht="16.5" customHeight="1" spans="1:8">
      <c r="A263" s="171"/>
      <c r="B263" s="172"/>
      <c r="C263" s="173" t="s">
        <v>788</v>
      </c>
      <c r="D263" s="172"/>
      <c r="E263" s="174"/>
      <c r="F263" s="175"/>
      <c r="G263" s="176"/>
      <c r="H263" s="175">
        <f>ROUND(H267,0)</f>
        <v>155333</v>
      </c>
    </row>
    <row r="264" ht="16.5" customHeight="1" spans="2:8">
      <c r="B264" s="145" t="s">
        <v>660</v>
      </c>
      <c r="C264" s="146" t="s">
        <v>661</v>
      </c>
      <c r="D264" s="145" t="s">
        <v>612</v>
      </c>
      <c r="E264" s="177">
        <v>0.033</v>
      </c>
      <c r="F264" s="148">
        <v>4019344</v>
      </c>
      <c r="G264" s="178">
        <v>1</v>
      </c>
      <c r="H264" s="148">
        <f>ROUND(E264*F264*G264,0)</f>
        <v>132638</v>
      </c>
    </row>
    <row r="265" ht="16.5" customHeight="1" spans="2:8">
      <c r="B265" s="145" t="s">
        <v>633</v>
      </c>
      <c r="C265" s="146" t="s">
        <v>634</v>
      </c>
      <c r="D265" s="145" t="s">
        <v>612</v>
      </c>
      <c r="E265" s="177">
        <v>0.089</v>
      </c>
      <c r="F265" s="148">
        <v>237717</v>
      </c>
      <c r="G265" s="178">
        <v>1</v>
      </c>
      <c r="H265" s="148">
        <f>ROUND(E265*F265*G265,0)</f>
        <v>21157</v>
      </c>
    </row>
    <row r="266" ht="16.5" customHeight="1" spans="2:8">
      <c r="B266" s="145" t="s">
        <v>790</v>
      </c>
      <c r="C266" s="146" t="s">
        <v>791</v>
      </c>
      <c r="D266" s="145" t="s">
        <v>792</v>
      </c>
      <c r="E266" s="177">
        <v>1</v>
      </c>
      <c r="F266" s="148">
        <f>ROUND(SUM(H264:H265)/100,0)</f>
        <v>1538</v>
      </c>
      <c r="G266" s="144"/>
      <c r="H266" s="148">
        <f>ROUND(E266*F266,0)</f>
        <v>1538</v>
      </c>
    </row>
    <row r="267" ht="16.5" customHeight="1" spans="2:8">
      <c r="B267" s="145"/>
      <c r="C267" s="146" t="s">
        <v>818</v>
      </c>
      <c r="D267" s="145"/>
      <c r="E267" s="205"/>
      <c r="F267" s="148"/>
      <c r="G267" s="144"/>
      <c r="H267" s="148">
        <f>ROUND(SUM(H264:H266),0)</f>
        <v>155333</v>
      </c>
    </row>
    <row r="268" ht="27.75" customHeight="1" spans="1:8">
      <c r="A268" s="179"/>
      <c r="B268" s="180"/>
      <c r="C268" s="181" t="s">
        <v>804</v>
      </c>
      <c r="D268" s="180" t="s">
        <v>805</v>
      </c>
      <c r="E268" s="182"/>
      <c r="F268" s="183"/>
      <c r="G268" s="184"/>
      <c r="H268" s="183">
        <f>ROUND(H257+H261+H263,0)</f>
        <v>1457755</v>
      </c>
    </row>
    <row r="269" ht="16.5" customHeight="1" spans="1:8">
      <c r="A269" s="185"/>
      <c r="B269" s="186"/>
      <c r="C269" s="187" t="s">
        <v>806</v>
      </c>
      <c r="D269" s="186" t="s">
        <v>807</v>
      </c>
      <c r="E269" s="188" t="s">
        <v>808</v>
      </c>
      <c r="F269" s="189"/>
      <c r="G269" s="190"/>
      <c r="H269" s="189">
        <v>83092</v>
      </c>
    </row>
    <row r="270" ht="25.5" customHeight="1" spans="1:8">
      <c r="A270" s="185"/>
      <c r="B270" s="186"/>
      <c r="C270" s="187" t="s">
        <v>809</v>
      </c>
      <c r="D270" s="186" t="s">
        <v>810</v>
      </c>
      <c r="E270" s="188" t="s">
        <v>811</v>
      </c>
      <c r="F270" s="189"/>
      <c r="G270" s="190"/>
      <c r="H270" s="189">
        <v>84747</v>
      </c>
    </row>
    <row r="271" ht="28.5" customHeight="1" spans="1:8">
      <c r="A271" s="191"/>
      <c r="B271" s="192"/>
      <c r="C271" s="193" t="s">
        <v>812</v>
      </c>
      <c r="D271" s="192" t="s">
        <v>813</v>
      </c>
      <c r="E271" s="194"/>
      <c r="F271" s="195"/>
      <c r="G271" s="196"/>
      <c r="H271" s="195">
        <f>ROUND(H268+H269+H270,0)</f>
        <v>1625594</v>
      </c>
    </row>
    <row r="272" ht="25.5" customHeight="1" spans="1:8">
      <c r="A272" s="185"/>
      <c r="B272" s="186"/>
      <c r="C272" s="187" t="s">
        <v>814</v>
      </c>
      <c r="D272" s="186" t="s">
        <v>815</v>
      </c>
      <c r="E272" s="197">
        <v>0.1</v>
      </c>
      <c r="F272" s="189"/>
      <c r="G272" s="190"/>
      <c r="H272" s="189">
        <f>ROUND(E272*H271,0)</f>
        <v>162559</v>
      </c>
    </row>
    <row r="273" ht="30.75" customHeight="1" spans="1:8">
      <c r="A273" s="198"/>
      <c r="B273" s="199"/>
      <c r="C273" s="200" t="s">
        <v>816</v>
      </c>
      <c r="D273" s="199" t="s">
        <v>817</v>
      </c>
      <c r="E273" s="201"/>
      <c r="F273" s="202"/>
      <c r="G273" s="203"/>
      <c r="H273" s="204">
        <f>ROUND(H271+H272,0)</f>
        <v>1788153</v>
      </c>
    </row>
    <row r="274" ht="42" customHeight="1" spans="1:8">
      <c r="A274" s="166">
        <v>19</v>
      </c>
      <c r="B274" s="167" t="s">
        <v>163</v>
      </c>
      <c r="C274" s="168" t="s">
        <v>165</v>
      </c>
      <c r="D274" s="167" t="s">
        <v>55</v>
      </c>
      <c r="E274" s="169">
        <v>1</v>
      </c>
      <c r="F274" s="170"/>
      <c r="G274" s="166"/>
      <c r="H274" s="170"/>
    </row>
    <row r="275" ht="16.5" customHeight="1" spans="1:8">
      <c r="A275" s="171"/>
      <c r="B275" s="172"/>
      <c r="C275" s="173" t="s">
        <v>789</v>
      </c>
      <c r="D275" s="172"/>
      <c r="E275" s="174"/>
      <c r="F275" s="175"/>
      <c r="G275" s="176"/>
      <c r="H275" s="175">
        <f>ROUND(H281,0)</f>
        <v>831184</v>
      </c>
    </row>
    <row r="276" ht="16.5" customHeight="1" spans="2:8">
      <c r="B276" s="145" t="s">
        <v>587</v>
      </c>
      <c r="C276" s="146" t="s">
        <v>588</v>
      </c>
      <c r="D276" s="145" t="s">
        <v>518</v>
      </c>
      <c r="E276" s="177">
        <v>415.125</v>
      </c>
      <c r="F276" s="148">
        <v>1140</v>
      </c>
      <c r="G276" s="144"/>
      <c r="H276" s="148">
        <f>ROUND(E276*F276,0)</f>
        <v>473243</v>
      </c>
    </row>
    <row r="277" ht="16.5" customHeight="1" spans="2:8">
      <c r="B277" s="145" t="s">
        <v>513</v>
      </c>
      <c r="C277" s="146" t="s">
        <v>514</v>
      </c>
      <c r="D277" s="145" t="s">
        <v>55</v>
      </c>
      <c r="E277" s="177">
        <v>0.4551</v>
      </c>
      <c r="F277" s="148">
        <v>258560</v>
      </c>
      <c r="G277" s="144"/>
      <c r="H277" s="148">
        <f>ROUND(E277*F277,0)</f>
        <v>117671</v>
      </c>
    </row>
    <row r="278" ht="16.5" customHeight="1" spans="2:8">
      <c r="B278" s="145" t="s">
        <v>527</v>
      </c>
      <c r="C278" s="146" t="s">
        <v>528</v>
      </c>
      <c r="D278" s="145" t="s">
        <v>55</v>
      </c>
      <c r="E278" s="177">
        <v>0.886625</v>
      </c>
      <c r="F278" s="148">
        <v>260000</v>
      </c>
      <c r="G278" s="144"/>
      <c r="H278" s="148">
        <f>ROUND(E278*F278,0)</f>
        <v>230523</v>
      </c>
    </row>
    <row r="279" ht="16.5" customHeight="1" spans="2:8">
      <c r="B279" s="145" t="s">
        <v>565</v>
      </c>
      <c r="C279" s="146" t="s">
        <v>566</v>
      </c>
      <c r="D279" s="145" t="s">
        <v>567</v>
      </c>
      <c r="E279" s="177">
        <v>189.625</v>
      </c>
      <c r="F279" s="148">
        <v>8</v>
      </c>
      <c r="G279" s="144"/>
      <c r="H279" s="148">
        <f>ROUND(E279*F279,0)</f>
        <v>1517</v>
      </c>
    </row>
    <row r="280" ht="16.5" customHeight="1" spans="2:8">
      <c r="B280" s="145" t="s">
        <v>793</v>
      </c>
      <c r="C280" s="146" t="s">
        <v>794</v>
      </c>
      <c r="D280" s="145" t="s">
        <v>792</v>
      </c>
      <c r="E280" s="177">
        <v>1</v>
      </c>
      <c r="F280" s="148">
        <f>ROUND(SUM(H276:H279)/100,0)</f>
        <v>8230</v>
      </c>
      <c r="G280" s="144"/>
      <c r="H280" s="148">
        <f>ROUND(E280*F280,0)</f>
        <v>8230</v>
      </c>
    </row>
    <row r="281" ht="16.5" customHeight="1" spans="2:8">
      <c r="B281" s="145"/>
      <c r="C281" s="146" t="s">
        <v>818</v>
      </c>
      <c r="D281" s="145"/>
      <c r="E281" s="205"/>
      <c r="F281" s="148"/>
      <c r="G281" s="144"/>
      <c r="H281" s="148">
        <f>ROUND(SUM(H276:H280),0)</f>
        <v>831184</v>
      </c>
    </row>
    <row r="282" ht="16.5" customHeight="1" spans="1:8">
      <c r="A282" s="171"/>
      <c r="B282" s="172"/>
      <c r="C282" s="173" t="s">
        <v>787</v>
      </c>
      <c r="D282" s="172"/>
      <c r="E282" s="174"/>
      <c r="F282" s="175"/>
      <c r="G282" s="176"/>
      <c r="H282" s="175">
        <f>ROUND(H283,0)</f>
        <v>798002</v>
      </c>
    </row>
    <row r="283" ht="16.5" customHeight="1" spans="2:8">
      <c r="B283" s="145" t="s">
        <v>596</v>
      </c>
      <c r="C283" s="146" t="s">
        <v>597</v>
      </c>
      <c r="D283" s="145" t="s">
        <v>594</v>
      </c>
      <c r="E283" s="177">
        <v>3.56</v>
      </c>
      <c r="F283" s="148">
        <v>224158</v>
      </c>
      <c r="G283" s="178">
        <v>1</v>
      </c>
      <c r="H283" s="148">
        <f>ROUND(E283*F283*G283,0)</f>
        <v>798002</v>
      </c>
    </row>
    <row r="284" ht="16.5" customHeight="1" spans="1:8">
      <c r="A284" s="171"/>
      <c r="B284" s="172"/>
      <c r="C284" s="173" t="s">
        <v>788</v>
      </c>
      <c r="D284" s="172"/>
      <c r="E284" s="174"/>
      <c r="F284" s="175"/>
      <c r="G284" s="176"/>
      <c r="H284" s="175">
        <f>ROUND(H288,0)</f>
        <v>114681</v>
      </c>
    </row>
    <row r="285" ht="16.5" customHeight="1" spans="2:8">
      <c r="B285" s="145" t="s">
        <v>642</v>
      </c>
      <c r="C285" s="146" t="s">
        <v>643</v>
      </c>
      <c r="D285" s="145" t="s">
        <v>612</v>
      </c>
      <c r="E285" s="177">
        <v>0.095</v>
      </c>
      <c r="F285" s="148">
        <v>301306</v>
      </c>
      <c r="G285" s="178">
        <v>1</v>
      </c>
      <c r="H285" s="148">
        <f>ROUND(E285*F285*G285,0)</f>
        <v>28624</v>
      </c>
    </row>
    <row r="286" ht="16.5" customHeight="1" spans="2:8">
      <c r="B286" s="145" t="s">
        <v>633</v>
      </c>
      <c r="C286" s="146" t="s">
        <v>634</v>
      </c>
      <c r="D286" s="145" t="s">
        <v>612</v>
      </c>
      <c r="E286" s="177">
        <v>0.18</v>
      </c>
      <c r="F286" s="148">
        <v>237717</v>
      </c>
      <c r="G286" s="178">
        <v>1</v>
      </c>
      <c r="H286" s="148">
        <f>ROUND(E286*F286*G286,0)</f>
        <v>42789</v>
      </c>
    </row>
    <row r="287" ht="16.5" customHeight="1" spans="2:8">
      <c r="B287" s="145" t="s">
        <v>645</v>
      </c>
      <c r="C287" s="146" t="s">
        <v>646</v>
      </c>
      <c r="D287" s="145" t="s">
        <v>612</v>
      </c>
      <c r="E287" s="177">
        <v>0.11</v>
      </c>
      <c r="F287" s="148">
        <v>393344</v>
      </c>
      <c r="G287" s="178">
        <v>1</v>
      </c>
      <c r="H287" s="148">
        <f>ROUND(E287*F287*G287,0)</f>
        <v>43268</v>
      </c>
    </row>
    <row r="288" ht="16.5" customHeight="1" spans="2:8">
      <c r="B288" s="145"/>
      <c r="C288" s="146" t="s">
        <v>818</v>
      </c>
      <c r="D288" s="145"/>
      <c r="E288" s="205"/>
      <c r="F288" s="148"/>
      <c r="G288" s="144"/>
      <c r="H288" s="148">
        <f>ROUND(SUM(H285:H287),0)</f>
        <v>114681</v>
      </c>
    </row>
    <row r="289" ht="27.75" customHeight="1" spans="1:8">
      <c r="A289" s="179"/>
      <c r="B289" s="180"/>
      <c r="C289" s="181" t="s">
        <v>804</v>
      </c>
      <c r="D289" s="180" t="s">
        <v>805</v>
      </c>
      <c r="E289" s="182"/>
      <c r="F289" s="183"/>
      <c r="G289" s="184"/>
      <c r="H289" s="183">
        <f>ROUND(H275+H282+H284,0)</f>
        <v>1743867</v>
      </c>
    </row>
    <row r="290" ht="16.5" customHeight="1" spans="1:8">
      <c r="A290" s="185"/>
      <c r="B290" s="186"/>
      <c r="C290" s="187" t="s">
        <v>806</v>
      </c>
      <c r="D290" s="186" t="s">
        <v>807</v>
      </c>
      <c r="E290" s="188" t="s">
        <v>808</v>
      </c>
      <c r="F290" s="189"/>
      <c r="G290" s="190"/>
      <c r="H290" s="189">
        <v>99400</v>
      </c>
    </row>
    <row r="291" ht="25.5" customHeight="1" spans="1:8">
      <c r="A291" s="185"/>
      <c r="B291" s="186"/>
      <c r="C291" s="187" t="s">
        <v>809</v>
      </c>
      <c r="D291" s="186" t="s">
        <v>810</v>
      </c>
      <c r="E291" s="188" t="s">
        <v>811</v>
      </c>
      <c r="F291" s="189"/>
      <c r="G291" s="190"/>
      <c r="H291" s="189">
        <v>101380</v>
      </c>
    </row>
    <row r="292" ht="28.5" customHeight="1" spans="1:8">
      <c r="A292" s="191"/>
      <c r="B292" s="192"/>
      <c r="C292" s="193" t="s">
        <v>812</v>
      </c>
      <c r="D292" s="192" t="s">
        <v>813</v>
      </c>
      <c r="E292" s="194"/>
      <c r="F292" s="195"/>
      <c r="G292" s="196"/>
      <c r="H292" s="195">
        <f>ROUND(H289+H290+H291,0)</f>
        <v>1944647</v>
      </c>
    </row>
    <row r="293" ht="25.5" customHeight="1" spans="1:8">
      <c r="A293" s="185"/>
      <c r="B293" s="186"/>
      <c r="C293" s="187" t="s">
        <v>814</v>
      </c>
      <c r="D293" s="186" t="s">
        <v>815</v>
      </c>
      <c r="E293" s="197">
        <v>0.1</v>
      </c>
      <c r="F293" s="189"/>
      <c r="G293" s="190"/>
      <c r="H293" s="189">
        <f>ROUND(E293*H292,0)</f>
        <v>194465</v>
      </c>
    </row>
    <row r="294" ht="30.75" customHeight="1" spans="1:8">
      <c r="A294" s="198"/>
      <c r="B294" s="199"/>
      <c r="C294" s="200" t="s">
        <v>816</v>
      </c>
      <c r="D294" s="199" t="s">
        <v>817</v>
      </c>
      <c r="E294" s="201"/>
      <c r="F294" s="202"/>
      <c r="G294" s="203"/>
      <c r="H294" s="204">
        <f>ROUND(H292+H293,0)</f>
        <v>2139112</v>
      </c>
    </row>
    <row r="295" ht="67.5" customHeight="1" spans="1:8">
      <c r="A295" s="166">
        <v>20</v>
      </c>
      <c r="B295" s="167" t="s">
        <v>169</v>
      </c>
      <c r="C295" s="168" t="s">
        <v>170</v>
      </c>
      <c r="D295" s="167" t="s">
        <v>107</v>
      </c>
      <c r="E295" s="169">
        <v>1</v>
      </c>
      <c r="F295" s="170"/>
      <c r="G295" s="166"/>
      <c r="H295" s="170"/>
    </row>
    <row r="296" ht="16.5" customHeight="1" spans="1:8">
      <c r="A296" s="171"/>
      <c r="B296" s="172"/>
      <c r="C296" s="173" t="s">
        <v>789</v>
      </c>
      <c r="D296" s="172"/>
      <c r="E296" s="174"/>
      <c r="F296" s="175"/>
      <c r="G296" s="176"/>
      <c r="H296" s="175">
        <f>ROUND(H300,0)</f>
        <v>3199740</v>
      </c>
    </row>
    <row r="297" ht="16.5" customHeight="1" spans="2:8">
      <c r="B297" s="145" t="s">
        <v>581</v>
      </c>
      <c r="C297" s="146" t="s">
        <v>582</v>
      </c>
      <c r="D297" s="145" t="s">
        <v>583</v>
      </c>
      <c r="E297" s="177">
        <v>10.5</v>
      </c>
      <c r="F297" s="148">
        <v>200000</v>
      </c>
      <c r="G297" s="144"/>
      <c r="H297" s="148">
        <f>ROUND(E297*F297,0)</f>
        <v>2100000</v>
      </c>
    </row>
    <row r="298" ht="16.5" customHeight="1" spans="2:8">
      <c r="B298" s="145" t="s">
        <v>562</v>
      </c>
      <c r="C298" s="146" t="s">
        <v>563</v>
      </c>
      <c r="D298" s="145" t="s">
        <v>518</v>
      </c>
      <c r="E298" s="177">
        <v>13.73</v>
      </c>
      <c r="F298" s="148">
        <v>69000</v>
      </c>
      <c r="G298" s="144"/>
      <c r="H298" s="148">
        <f>ROUND(E298*F298,0)</f>
        <v>947370</v>
      </c>
    </row>
    <row r="299" ht="16.5" customHeight="1" spans="2:8">
      <c r="B299" s="145" t="s">
        <v>793</v>
      </c>
      <c r="C299" s="146" t="s">
        <v>794</v>
      </c>
      <c r="D299" s="145" t="s">
        <v>792</v>
      </c>
      <c r="E299" s="177">
        <v>5</v>
      </c>
      <c r="F299" s="148">
        <f>ROUND(SUM(H297:H298)/100,0)</f>
        <v>30474</v>
      </c>
      <c r="G299" s="144"/>
      <c r="H299" s="148">
        <f>ROUND(E299*F299,0)</f>
        <v>152370</v>
      </c>
    </row>
    <row r="300" ht="16.5" customHeight="1" spans="2:8">
      <c r="B300" s="145"/>
      <c r="C300" s="146" t="s">
        <v>818</v>
      </c>
      <c r="D300" s="145"/>
      <c r="E300" s="205"/>
      <c r="F300" s="148"/>
      <c r="G300" s="144"/>
      <c r="H300" s="148">
        <f>ROUND(SUM(H297:H299),0)</f>
        <v>3199740</v>
      </c>
    </row>
    <row r="301" ht="16.5" customHeight="1" spans="1:8">
      <c r="A301" s="171"/>
      <c r="B301" s="172"/>
      <c r="C301" s="173" t="s">
        <v>787</v>
      </c>
      <c r="D301" s="172"/>
      <c r="E301" s="174"/>
      <c r="F301" s="175"/>
      <c r="G301" s="176"/>
      <c r="H301" s="175">
        <f>ROUND(H302,0)</f>
        <v>5466009</v>
      </c>
    </row>
    <row r="302" ht="16.5" customHeight="1" spans="2:8">
      <c r="B302" s="145" t="s">
        <v>602</v>
      </c>
      <c r="C302" s="146" t="s">
        <v>603</v>
      </c>
      <c r="D302" s="145" t="s">
        <v>594</v>
      </c>
      <c r="E302" s="177">
        <v>22.52</v>
      </c>
      <c r="F302" s="148">
        <v>242718</v>
      </c>
      <c r="G302" s="178">
        <v>1</v>
      </c>
      <c r="H302" s="148">
        <f>ROUND(E302*F302*G302,0)</f>
        <v>5466009</v>
      </c>
    </row>
    <row r="303" ht="16.5" customHeight="1" spans="1:8">
      <c r="A303" s="171"/>
      <c r="B303" s="172"/>
      <c r="C303" s="173" t="s">
        <v>788</v>
      </c>
      <c r="D303" s="172"/>
      <c r="E303" s="174"/>
      <c r="F303" s="175"/>
      <c r="G303" s="176"/>
      <c r="H303" s="175">
        <f>ROUND(H306,0)</f>
        <v>100302</v>
      </c>
    </row>
    <row r="304" ht="16.5" customHeight="1" spans="2:8">
      <c r="B304" s="145" t="s">
        <v>654</v>
      </c>
      <c r="C304" s="146" t="s">
        <v>655</v>
      </c>
      <c r="D304" s="145" t="s">
        <v>612</v>
      </c>
      <c r="E304" s="177">
        <v>0.25</v>
      </c>
      <c r="F304" s="148">
        <v>393344</v>
      </c>
      <c r="G304" s="178">
        <v>1</v>
      </c>
      <c r="H304" s="148">
        <f>ROUND(E304*F304*G304,0)</f>
        <v>98336</v>
      </c>
    </row>
    <row r="305" ht="16.5" customHeight="1" spans="2:8">
      <c r="B305" s="145" t="s">
        <v>790</v>
      </c>
      <c r="C305" s="146" t="s">
        <v>791</v>
      </c>
      <c r="D305" s="145" t="s">
        <v>792</v>
      </c>
      <c r="E305" s="177">
        <v>2</v>
      </c>
      <c r="F305" s="148">
        <f>ROUND(SUM(H304:H304)/100,0)</f>
        <v>983</v>
      </c>
      <c r="G305" s="144"/>
      <c r="H305" s="148">
        <f>ROUND(E305*F305,0)</f>
        <v>1966</v>
      </c>
    </row>
    <row r="306" ht="16.5" customHeight="1" spans="2:8">
      <c r="B306" s="145"/>
      <c r="C306" s="146" t="s">
        <v>818</v>
      </c>
      <c r="D306" s="145"/>
      <c r="E306" s="205"/>
      <c r="F306" s="148"/>
      <c r="G306" s="144"/>
      <c r="H306" s="148">
        <f>ROUND(SUM(H304:H305),0)</f>
        <v>100302</v>
      </c>
    </row>
    <row r="307" ht="27.75" customHeight="1" spans="1:8">
      <c r="A307" s="179"/>
      <c r="B307" s="180"/>
      <c r="C307" s="181" t="s">
        <v>804</v>
      </c>
      <c r="D307" s="180" t="s">
        <v>805</v>
      </c>
      <c r="E307" s="182"/>
      <c r="F307" s="183"/>
      <c r="G307" s="184"/>
      <c r="H307" s="183">
        <f>ROUND(H296+H301+H303,0)</f>
        <v>8766051</v>
      </c>
    </row>
    <row r="308" ht="16.5" customHeight="1" spans="1:8">
      <c r="A308" s="185"/>
      <c r="B308" s="186"/>
      <c r="C308" s="187" t="s">
        <v>806</v>
      </c>
      <c r="D308" s="186" t="s">
        <v>807</v>
      </c>
      <c r="E308" s="188" t="s">
        <v>808</v>
      </c>
      <c r="F308" s="189"/>
      <c r="G308" s="190"/>
      <c r="H308" s="189">
        <v>499665</v>
      </c>
    </row>
    <row r="309" ht="25.5" customHeight="1" spans="1:8">
      <c r="A309" s="185"/>
      <c r="B309" s="186"/>
      <c r="C309" s="187" t="s">
        <v>809</v>
      </c>
      <c r="D309" s="186" t="s">
        <v>810</v>
      </c>
      <c r="E309" s="188" t="s">
        <v>811</v>
      </c>
      <c r="F309" s="189"/>
      <c r="G309" s="190"/>
      <c r="H309" s="189">
        <v>509614</v>
      </c>
    </row>
    <row r="310" ht="28.5" customHeight="1" spans="1:8">
      <c r="A310" s="191"/>
      <c r="B310" s="192"/>
      <c r="C310" s="193" t="s">
        <v>812</v>
      </c>
      <c r="D310" s="192" t="s">
        <v>813</v>
      </c>
      <c r="E310" s="194"/>
      <c r="F310" s="195"/>
      <c r="G310" s="196"/>
      <c r="H310" s="195">
        <f>ROUND(H307+H308+H309,0)</f>
        <v>9775330</v>
      </c>
    </row>
    <row r="311" ht="25.5" customHeight="1" spans="1:8">
      <c r="A311" s="185"/>
      <c r="B311" s="186"/>
      <c r="C311" s="187" t="s">
        <v>814</v>
      </c>
      <c r="D311" s="186" t="s">
        <v>815</v>
      </c>
      <c r="E311" s="197">
        <v>0.1</v>
      </c>
      <c r="F311" s="189"/>
      <c r="G311" s="190"/>
      <c r="H311" s="189">
        <f>ROUND(E311*H310,0)</f>
        <v>977533</v>
      </c>
    </row>
    <row r="312" ht="30.75" customHeight="1" spans="1:8">
      <c r="A312" s="198"/>
      <c r="B312" s="199"/>
      <c r="C312" s="200" t="s">
        <v>816</v>
      </c>
      <c r="D312" s="199" t="s">
        <v>817</v>
      </c>
      <c r="E312" s="201"/>
      <c r="F312" s="202"/>
      <c r="G312" s="203"/>
      <c r="H312" s="204">
        <f>ROUND(H310+H311,0)</f>
        <v>10752863</v>
      </c>
    </row>
    <row r="313" ht="54.75" customHeight="1" spans="1:8">
      <c r="A313" s="166">
        <v>21</v>
      </c>
      <c r="B313" s="167" t="s">
        <v>176</v>
      </c>
      <c r="C313" s="168" t="s">
        <v>177</v>
      </c>
      <c r="D313" s="167" t="s">
        <v>114</v>
      </c>
      <c r="E313" s="169">
        <v>1</v>
      </c>
      <c r="F313" s="170"/>
      <c r="G313" s="166"/>
      <c r="H313" s="170"/>
    </row>
    <row r="314" ht="16.5" customHeight="1" spans="1:8">
      <c r="A314" s="171"/>
      <c r="B314" s="172"/>
      <c r="C314" s="173" t="s">
        <v>789</v>
      </c>
      <c r="D314" s="172"/>
      <c r="E314" s="174"/>
      <c r="F314" s="175"/>
      <c r="G314" s="176"/>
      <c r="H314" s="175">
        <f>ROUND(H317,0)</f>
        <v>13392900</v>
      </c>
    </row>
    <row r="315" ht="16.5" customHeight="1" spans="2:8">
      <c r="B315" s="145" t="s">
        <v>572</v>
      </c>
      <c r="C315" s="146" t="s">
        <v>573</v>
      </c>
      <c r="D315" s="145" t="s">
        <v>518</v>
      </c>
      <c r="E315" s="177">
        <v>1005</v>
      </c>
      <c r="F315" s="148">
        <v>12900</v>
      </c>
      <c r="G315" s="144"/>
      <c r="H315" s="148">
        <f>ROUND(E315*F315,0)</f>
        <v>12964500</v>
      </c>
    </row>
    <row r="316" ht="16.5" customHeight="1" spans="2:8">
      <c r="B316" s="145" t="s">
        <v>521</v>
      </c>
      <c r="C316" s="146" t="s">
        <v>522</v>
      </c>
      <c r="D316" s="145" t="s">
        <v>518</v>
      </c>
      <c r="E316" s="177">
        <v>21.42</v>
      </c>
      <c r="F316" s="148">
        <v>20000</v>
      </c>
      <c r="G316" s="144"/>
      <c r="H316" s="148">
        <f>ROUND(E316*F316,0)</f>
        <v>428400</v>
      </c>
    </row>
    <row r="317" ht="16.5" customHeight="1" spans="2:8">
      <c r="B317" s="145"/>
      <c r="C317" s="146" t="s">
        <v>818</v>
      </c>
      <c r="D317" s="145"/>
      <c r="E317" s="205"/>
      <c r="F317" s="148"/>
      <c r="G317" s="144"/>
      <c r="H317" s="148">
        <f>ROUND(SUM(H315:H316),0)</f>
        <v>13392900</v>
      </c>
    </row>
    <row r="318" ht="16.5" customHeight="1" spans="1:8">
      <c r="A318" s="171"/>
      <c r="B318" s="172"/>
      <c r="C318" s="173" t="s">
        <v>787</v>
      </c>
      <c r="D318" s="172"/>
      <c r="E318" s="174"/>
      <c r="F318" s="175"/>
      <c r="G318" s="176"/>
      <c r="H318" s="175">
        <f>ROUND(H319,0)</f>
        <v>3335471</v>
      </c>
    </row>
    <row r="319" ht="16.5" customHeight="1" spans="2:8">
      <c r="B319" s="145" t="s">
        <v>596</v>
      </c>
      <c r="C319" s="146" t="s">
        <v>597</v>
      </c>
      <c r="D319" s="145" t="s">
        <v>594</v>
      </c>
      <c r="E319" s="177">
        <v>14.88</v>
      </c>
      <c r="F319" s="148">
        <v>224158</v>
      </c>
      <c r="G319" s="178">
        <v>1</v>
      </c>
      <c r="H319" s="148">
        <f>ROUND(E319*F319*G319,0)</f>
        <v>3335471</v>
      </c>
    </row>
    <row r="320" ht="16.5" customHeight="1" spans="1:8">
      <c r="A320" s="171"/>
      <c r="B320" s="172"/>
      <c r="C320" s="173" t="s">
        <v>788</v>
      </c>
      <c r="D320" s="172"/>
      <c r="E320" s="174"/>
      <c r="F320" s="175"/>
      <c r="G320" s="176"/>
      <c r="H320" s="175">
        <f>ROUND(H321,0)</f>
        <v>96180</v>
      </c>
    </row>
    <row r="321" ht="16.5" customHeight="1" spans="2:8">
      <c r="B321" s="145" t="s">
        <v>621</v>
      </c>
      <c r="C321" s="146" t="s">
        <v>622</v>
      </c>
      <c r="D321" s="145" t="s">
        <v>612</v>
      </c>
      <c r="E321" s="177">
        <v>0.4</v>
      </c>
      <c r="F321" s="148">
        <v>240449</v>
      </c>
      <c r="G321" s="178">
        <v>1</v>
      </c>
      <c r="H321" s="148">
        <f>ROUND(E321*F321*G321,0)</f>
        <v>96180</v>
      </c>
    </row>
    <row r="322" ht="27.75" customHeight="1" spans="1:8">
      <c r="A322" s="179"/>
      <c r="B322" s="180"/>
      <c r="C322" s="181" t="s">
        <v>804</v>
      </c>
      <c r="D322" s="180" t="s">
        <v>805</v>
      </c>
      <c r="E322" s="182"/>
      <c r="F322" s="183"/>
      <c r="G322" s="184"/>
      <c r="H322" s="183">
        <f>ROUND(H314+H318+H320,0)</f>
        <v>16824551</v>
      </c>
    </row>
    <row r="323" ht="16.5" customHeight="1" spans="1:8">
      <c r="A323" s="185"/>
      <c r="B323" s="186"/>
      <c r="C323" s="187" t="s">
        <v>806</v>
      </c>
      <c r="D323" s="186" t="s">
        <v>807</v>
      </c>
      <c r="E323" s="188" t="s">
        <v>808</v>
      </c>
      <c r="F323" s="189"/>
      <c r="G323" s="190"/>
      <c r="H323" s="189">
        <v>958999</v>
      </c>
    </row>
    <row r="324" ht="25.5" customHeight="1" spans="1:8">
      <c r="A324" s="185"/>
      <c r="B324" s="186"/>
      <c r="C324" s="187" t="s">
        <v>809</v>
      </c>
      <c r="D324" s="186" t="s">
        <v>810</v>
      </c>
      <c r="E324" s="188" t="s">
        <v>811</v>
      </c>
      <c r="F324" s="189"/>
      <c r="G324" s="190"/>
      <c r="H324" s="189">
        <v>978095</v>
      </c>
    </row>
    <row r="325" ht="28.5" customHeight="1" spans="1:8">
      <c r="A325" s="191"/>
      <c r="B325" s="192"/>
      <c r="C325" s="193" t="s">
        <v>812</v>
      </c>
      <c r="D325" s="192" t="s">
        <v>813</v>
      </c>
      <c r="E325" s="194"/>
      <c r="F325" s="195"/>
      <c r="G325" s="196"/>
      <c r="H325" s="195">
        <f>ROUND(H322+H323+H324,0)</f>
        <v>18761645</v>
      </c>
    </row>
    <row r="326" ht="25.5" customHeight="1" spans="1:8">
      <c r="A326" s="185"/>
      <c r="B326" s="186"/>
      <c r="C326" s="187" t="s">
        <v>814</v>
      </c>
      <c r="D326" s="186" t="s">
        <v>815</v>
      </c>
      <c r="E326" s="197">
        <v>0.1</v>
      </c>
      <c r="F326" s="189"/>
      <c r="G326" s="190"/>
      <c r="H326" s="189">
        <f>ROUND(E326*H325,0)</f>
        <v>1876165</v>
      </c>
    </row>
    <row r="327" ht="30.75" customHeight="1" spans="1:8">
      <c r="A327" s="198"/>
      <c r="B327" s="199"/>
      <c r="C327" s="200" t="s">
        <v>816</v>
      </c>
      <c r="D327" s="199" t="s">
        <v>817</v>
      </c>
      <c r="E327" s="201"/>
      <c r="F327" s="202"/>
      <c r="G327" s="203"/>
      <c r="H327" s="204">
        <f>ROUND(H325+H326,0)</f>
        <v>20637810</v>
      </c>
    </row>
    <row r="328" ht="54.75" customHeight="1" spans="1:8">
      <c r="A328" s="166">
        <v>22</v>
      </c>
      <c r="B328" s="167" t="s">
        <v>181</v>
      </c>
      <c r="C328" s="168" t="s">
        <v>182</v>
      </c>
      <c r="D328" s="167" t="s">
        <v>114</v>
      </c>
      <c r="E328" s="169">
        <v>1</v>
      </c>
      <c r="F328" s="170"/>
      <c r="G328" s="166"/>
      <c r="H328" s="170"/>
    </row>
    <row r="329" ht="16.5" customHeight="1" spans="1:8">
      <c r="A329" s="171"/>
      <c r="B329" s="172"/>
      <c r="C329" s="173" t="s">
        <v>789</v>
      </c>
      <c r="D329" s="172"/>
      <c r="E329" s="174"/>
      <c r="F329" s="175"/>
      <c r="G329" s="176"/>
      <c r="H329" s="175">
        <f>ROUND(H333,0)</f>
        <v>13947036</v>
      </c>
    </row>
    <row r="330" ht="16.5" customHeight="1" spans="2:8">
      <c r="B330" s="145" t="s">
        <v>575</v>
      </c>
      <c r="C330" s="146" t="s">
        <v>576</v>
      </c>
      <c r="D330" s="145" t="s">
        <v>518</v>
      </c>
      <c r="E330" s="177">
        <v>1020</v>
      </c>
      <c r="F330" s="148">
        <v>13300</v>
      </c>
      <c r="G330" s="144"/>
      <c r="H330" s="148">
        <f>ROUND(E330*F330,0)</f>
        <v>13566000</v>
      </c>
    </row>
    <row r="331" ht="16.5" customHeight="1" spans="2:8">
      <c r="B331" s="145" t="s">
        <v>521</v>
      </c>
      <c r="C331" s="146" t="s">
        <v>522</v>
      </c>
      <c r="D331" s="145" t="s">
        <v>518</v>
      </c>
      <c r="E331" s="177">
        <v>14.28</v>
      </c>
      <c r="F331" s="148">
        <v>20000</v>
      </c>
      <c r="G331" s="144"/>
      <c r="H331" s="148">
        <f>ROUND(E331*F331,0)</f>
        <v>285600</v>
      </c>
    </row>
    <row r="332" ht="16.5" customHeight="1" spans="2:8">
      <c r="B332" s="145" t="s">
        <v>569</v>
      </c>
      <c r="C332" s="146" t="s">
        <v>570</v>
      </c>
      <c r="D332" s="145" t="s">
        <v>518</v>
      </c>
      <c r="E332" s="177">
        <v>4.82</v>
      </c>
      <c r="F332" s="148">
        <v>19800</v>
      </c>
      <c r="G332" s="144"/>
      <c r="H332" s="148">
        <f>ROUND(E332*F332,0)</f>
        <v>95436</v>
      </c>
    </row>
    <row r="333" ht="16.5" customHeight="1" spans="2:8">
      <c r="B333" s="145"/>
      <c r="C333" s="146" t="s">
        <v>818</v>
      </c>
      <c r="D333" s="145"/>
      <c r="E333" s="205"/>
      <c r="F333" s="148"/>
      <c r="G333" s="144"/>
      <c r="H333" s="148">
        <f>ROUND(SUM(H330:H332),0)</f>
        <v>13947036</v>
      </c>
    </row>
    <row r="334" ht="16.5" customHeight="1" spans="1:8">
      <c r="A334" s="171"/>
      <c r="B334" s="172"/>
      <c r="C334" s="173" t="s">
        <v>787</v>
      </c>
      <c r="D334" s="172"/>
      <c r="E334" s="174"/>
      <c r="F334" s="175"/>
      <c r="G334" s="176"/>
      <c r="H334" s="175">
        <f>ROUND(H335,0)</f>
        <v>2246063</v>
      </c>
    </row>
    <row r="335" ht="16.5" customHeight="1" spans="2:8">
      <c r="B335" s="145" t="s">
        <v>596</v>
      </c>
      <c r="C335" s="146" t="s">
        <v>597</v>
      </c>
      <c r="D335" s="145" t="s">
        <v>594</v>
      </c>
      <c r="E335" s="177">
        <v>10.02</v>
      </c>
      <c r="F335" s="148">
        <v>224158</v>
      </c>
      <c r="G335" s="178">
        <v>1</v>
      </c>
      <c r="H335" s="148">
        <f>ROUND(E335*F335*G335,0)</f>
        <v>2246063</v>
      </c>
    </row>
    <row r="336" ht="16.5" customHeight="1" spans="1:8">
      <c r="A336" s="171"/>
      <c r="B336" s="172"/>
      <c r="C336" s="173" t="s">
        <v>788</v>
      </c>
      <c r="D336" s="172"/>
      <c r="E336" s="174"/>
      <c r="F336" s="175"/>
      <c r="G336" s="176"/>
      <c r="H336" s="175">
        <f>ROUND(H339,0)</f>
        <v>495861</v>
      </c>
    </row>
    <row r="337" ht="16.5" customHeight="1" spans="2:8">
      <c r="B337" s="145" t="s">
        <v>636</v>
      </c>
      <c r="C337" s="146" t="s">
        <v>637</v>
      </c>
      <c r="D337" s="145" t="s">
        <v>612</v>
      </c>
      <c r="E337" s="177">
        <v>1.16</v>
      </c>
      <c r="F337" s="148">
        <v>361135</v>
      </c>
      <c r="G337" s="178">
        <v>1</v>
      </c>
      <c r="H337" s="148">
        <f>ROUND(E337*F337*G337,0)</f>
        <v>418917</v>
      </c>
    </row>
    <row r="338" ht="16.5" customHeight="1" spans="2:8">
      <c r="B338" s="145" t="s">
        <v>621</v>
      </c>
      <c r="C338" s="146" t="s">
        <v>622</v>
      </c>
      <c r="D338" s="145" t="s">
        <v>612</v>
      </c>
      <c r="E338" s="177">
        <v>0.32</v>
      </c>
      <c r="F338" s="148">
        <v>240449</v>
      </c>
      <c r="G338" s="178">
        <v>1</v>
      </c>
      <c r="H338" s="148">
        <f>ROUND(E338*F338*G338,0)</f>
        <v>76944</v>
      </c>
    </row>
    <row r="339" ht="16.5" customHeight="1" spans="2:8">
      <c r="B339" s="145"/>
      <c r="C339" s="146" t="s">
        <v>818</v>
      </c>
      <c r="D339" s="145"/>
      <c r="E339" s="205"/>
      <c r="F339" s="148"/>
      <c r="G339" s="144"/>
      <c r="H339" s="148">
        <f>ROUND(SUM(H337:H338),0)</f>
        <v>495861</v>
      </c>
    </row>
    <row r="340" ht="27.75" customHeight="1" spans="1:8">
      <c r="A340" s="179"/>
      <c r="B340" s="180"/>
      <c r="C340" s="181" t="s">
        <v>804</v>
      </c>
      <c r="D340" s="180" t="s">
        <v>805</v>
      </c>
      <c r="E340" s="182"/>
      <c r="F340" s="183"/>
      <c r="G340" s="184"/>
      <c r="H340" s="183">
        <f>ROUND(H329+H334+H336,0)</f>
        <v>16688960</v>
      </c>
    </row>
    <row r="341" ht="16.5" customHeight="1" spans="1:8">
      <c r="A341" s="185"/>
      <c r="B341" s="186"/>
      <c r="C341" s="187" t="s">
        <v>806</v>
      </c>
      <c r="D341" s="186" t="s">
        <v>807</v>
      </c>
      <c r="E341" s="188" t="s">
        <v>808</v>
      </c>
      <c r="F341" s="189"/>
      <c r="G341" s="190"/>
      <c r="H341" s="189">
        <v>951271</v>
      </c>
    </row>
    <row r="342" ht="25.5" customHeight="1" spans="1:8">
      <c r="A342" s="185"/>
      <c r="B342" s="186"/>
      <c r="C342" s="187" t="s">
        <v>809</v>
      </c>
      <c r="D342" s="186" t="s">
        <v>810</v>
      </c>
      <c r="E342" s="188" t="s">
        <v>811</v>
      </c>
      <c r="F342" s="189"/>
      <c r="G342" s="190"/>
      <c r="H342" s="189">
        <v>970213</v>
      </c>
    </row>
    <row r="343" ht="28.5" customHeight="1" spans="1:8">
      <c r="A343" s="191"/>
      <c r="B343" s="192"/>
      <c r="C343" s="193" t="s">
        <v>812</v>
      </c>
      <c r="D343" s="192" t="s">
        <v>813</v>
      </c>
      <c r="E343" s="194"/>
      <c r="F343" s="195"/>
      <c r="G343" s="196"/>
      <c r="H343" s="195">
        <f>ROUND(H340+H341+H342,0)</f>
        <v>18610444</v>
      </c>
    </row>
    <row r="344" ht="25.5" customHeight="1" spans="1:8">
      <c r="A344" s="185"/>
      <c r="B344" s="186"/>
      <c r="C344" s="187" t="s">
        <v>814</v>
      </c>
      <c r="D344" s="186" t="s">
        <v>815</v>
      </c>
      <c r="E344" s="197">
        <v>0.1</v>
      </c>
      <c r="F344" s="189"/>
      <c r="G344" s="190"/>
      <c r="H344" s="189">
        <f>ROUND(E344*H343,0)</f>
        <v>1861044</v>
      </c>
    </row>
    <row r="345" ht="30.75" customHeight="1" spans="1:8">
      <c r="A345" s="198"/>
      <c r="B345" s="199"/>
      <c r="C345" s="200" t="s">
        <v>816</v>
      </c>
      <c r="D345" s="199" t="s">
        <v>817</v>
      </c>
      <c r="E345" s="201"/>
      <c r="F345" s="202"/>
      <c r="G345" s="203"/>
      <c r="H345" s="204">
        <f>ROUND(H343+H344,0)</f>
        <v>20471488</v>
      </c>
    </row>
    <row r="346" ht="54.75" customHeight="1" spans="1:8">
      <c r="A346" s="166">
        <v>23</v>
      </c>
      <c r="B346" s="167" t="s">
        <v>187</v>
      </c>
      <c r="C346" s="168" t="s">
        <v>188</v>
      </c>
      <c r="D346" s="167" t="s">
        <v>114</v>
      </c>
      <c r="E346" s="169">
        <v>1</v>
      </c>
      <c r="F346" s="170"/>
      <c r="G346" s="166"/>
      <c r="H346" s="170"/>
    </row>
    <row r="347" ht="16.5" customHeight="1" spans="1:8">
      <c r="A347" s="171"/>
      <c r="B347" s="172"/>
      <c r="C347" s="173" t="s">
        <v>789</v>
      </c>
      <c r="D347" s="172"/>
      <c r="E347" s="174"/>
      <c r="F347" s="175"/>
      <c r="G347" s="176"/>
      <c r="H347" s="175">
        <f>ROUND(H351,0)</f>
        <v>13974360</v>
      </c>
    </row>
    <row r="348" ht="16.5" customHeight="1" spans="2:8">
      <c r="B348" s="145" t="s">
        <v>578</v>
      </c>
      <c r="C348" s="146" t="s">
        <v>579</v>
      </c>
      <c r="D348" s="145" t="s">
        <v>518</v>
      </c>
      <c r="E348" s="177">
        <v>1020</v>
      </c>
      <c r="F348" s="148">
        <v>13300</v>
      </c>
      <c r="G348" s="144"/>
      <c r="H348" s="148">
        <f>ROUND(E348*F348,0)</f>
        <v>13566000</v>
      </c>
    </row>
    <row r="349" ht="16.5" customHeight="1" spans="2:8">
      <c r="B349" s="145" t="s">
        <v>521</v>
      </c>
      <c r="C349" s="146" t="s">
        <v>522</v>
      </c>
      <c r="D349" s="145" t="s">
        <v>518</v>
      </c>
      <c r="E349" s="177">
        <v>14.28</v>
      </c>
      <c r="F349" s="148">
        <v>20000</v>
      </c>
      <c r="G349" s="144"/>
      <c r="H349" s="148">
        <f>ROUND(E349*F349,0)</f>
        <v>285600</v>
      </c>
    </row>
    <row r="350" ht="16.5" customHeight="1" spans="2:8">
      <c r="B350" s="145" t="s">
        <v>569</v>
      </c>
      <c r="C350" s="146" t="s">
        <v>570</v>
      </c>
      <c r="D350" s="145" t="s">
        <v>518</v>
      </c>
      <c r="E350" s="177">
        <v>6.2</v>
      </c>
      <c r="F350" s="148">
        <v>19800</v>
      </c>
      <c r="G350" s="144"/>
      <c r="H350" s="148">
        <f>ROUND(E350*F350,0)</f>
        <v>122760</v>
      </c>
    </row>
    <row r="351" ht="16.5" customHeight="1" spans="2:8">
      <c r="B351" s="145"/>
      <c r="C351" s="146" t="s">
        <v>818</v>
      </c>
      <c r="D351" s="145"/>
      <c r="E351" s="205"/>
      <c r="F351" s="148"/>
      <c r="G351" s="144"/>
      <c r="H351" s="148">
        <f>ROUND(SUM(H348:H350),0)</f>
        <v>13974360</v>
      </c>
    </row>
    <row r="352" ht="16.5" customHeight="1" spans="1:8">
      <c r="A352" s="171"/>
      <c r="B352" s="172"/>
      <c r="C352" s="173" t="s">
        <v>787</v>
      </c>
      <c r="D352" s="172"/>
      <c r="E352" s="174"/>
      <c r="F352" s="175"/>
      <c r="G352" s="176"/>
      <c r="H352" s="175">
        <f>ROUND(H353,0)</f>
        <v>1900860</v>
      </c>
    </row>
    <row r="353" ht="16.5" customHeight="1" spans="2:8">
      <c r="B353" s="145" t="s">
        <v>596</v>
      </c>
      <c r="C353" s="146" t="s">
        <v>597</v>
      </c>
      <c r="D353" s="145" t="s">
        <v>594</v>
      </c>
      <c r="E353" s="177">
        <v>8.48</v>
      </c>
      <c r="F353" s="148">
        <v>224158</v>
      </c>
      <c r="G353" s="178">
        <v>1</v>
      </c>
      <c r="H353" s="148">
        <f>ROUND(E353*F353*G353,0)</f>
        <v>1900860</v>
      </c>
    </row>
    <row r="354" ht="16.5" customHeight="1" spans="1:8">
      <c r="A354" s="171"/>
      <c r="B354" s="172"/>
      <c r="C354" s="173" t="s">
        <v>788</v>
      </c>
      <c r="D354" s="172"/>
      <c r="E354" s="174"/>
      <c r="F354" s="175"/>
      <c r="G354" s="176"/>
      <c r="H354" s="175">
        <f>ROUND(H357,0)</f>
        <v>576563</v>
      </c>
    </row>
    <row r="355" ht="16.5" customHeight="1" spans="2:8">
      <c r="B355" s="145" t="s">
        <v>636</v>
      </c>
      <c r="C355" s="146" t="s">
        <v>637</v>
      </c>
      <c r="D355" s="145" t="s">
        <v>612</v>
      </c>
      <c r="E355" s="177">
        <v>1.49</v>
      </c>
      <c r="F355" s="148">
        <v>361135</v>
      </c>
      <c r="G355" s="178">
        <v>1</v>
      </c>
      <c r="H355" s="148">
        <f>ROUND(E355*F355*G355,0)</f>
        <v>538091</v>
      </c>
    </row>
    <row r="356" ht="16.5" customHeight="1" spans="2:8">
      <c r="B356" s="145" t="s">
        <v>621</v>
      </c>
      <c r="C356" s="146" t="s">
        <v>622</v>
      </c>
      <c r="D356" s="145" t="s">
        <v>612</v>
      </c>
      <c r="E356" s="177">
        <v>0.16</v>
      </c>
      <c r="F356" s="148">
        <v>240449</v>
      </c>
      <c r="G356" s="178">
        <v>1</v>
      </c>
      <c r="H356" s="148">
        <f>ROUND(E356*F356*G356,0)</f>
        <v>38472</v>
      </c>
    </row>
    <row r="357" ht="16.5" customHeight="1" spans="2:8">
      <c r="B357" s="145"/>
      <c r="C357" s="146" t="s">
        <v>818</v>
      </c>
      <c r="D357" s="145"/>
      <c r="E357" s="205"/>
      <c r="F357" s="148"/>
      <c r="G357" s="144"/>
      <c r="H357" s="148">
        <f>ROUND(SUM(H355:H356),0)</f>
        <v>576563</v>
      </c>
    </row>
    <row r="358" ht="27.75" customHeight="1" spans="1:8">
      <c r="A358" s="179"/>
      <c r="B358" s="180"/>
      <c r="C358" s="181" t="s">
        <v>804</v>
      </c>
      <c r="D358" s="180" t="s">
        <v>805</v>
      </c>
      <c r="E358" s="182"/>
      <c r="F358" s="183"/>
      <c r="G358" s="184"/>
      <c r="H358" s="183">
        <f>ROUND(H347+H352+H354,0)</f>
        <v>16451783</v>
      </c>
    </row>
    <row r="359" ht="16.5" customHeight="1" spans="1:8">
      <c r="A359" s="185"/>
      <c r="B359" s="186"/>
      <c r="C359" s="187" t="s">
        <v>806</v>
      </c>
      <c r="D359" s="186" t="s">
        <v>807</v>
      </c>
      <c r="E359" s="188" t="s">
        <v>808</v>
      </c>
      <c r="F359" s="189"/>
      <c r="G359" s="190"/>
      <c r="H359" s="189">
        <v>937752</v>
      </c>
    </row>
    <row r="360" ht="25.5" customHeight="1" spans="1:8">
      <c r="A360" s="185"/>
      <c r="B360" s="186"/>
      <c r="C360" s="187" t="s">
        <v>809</v>
      </c>
      <c r="D360" s="186" t="s">
        <v>810</v>
      </c>
      <c r="E360" s="188" t="s">
        <v>811</v>
      </c>
      <c r="F360" s="189"/>
      <c r="G360" s="190"/>
      <c r="H360" s="189">
        <v>956424</v>
      </c>
    </row>
    <row r="361" ht="28.5" customHeight="1" spans="1:8">
      <c r="A361" s="191"/>
      <c r="B361" s="192"/>
      <c r="C361" s="193" t="s">
        <v>812</v>
      </c>
      <c r="D361" s="192" t="s">
        <v>813</v>
      </c>
      <c r="E361" s="194"/>
      <c r="F361" s="195"/>
      <c r="G361" s="196"/>
      <c r="H361" s="195">
        <f>ROUND(H358+H359+H360,0)</f>
        <v>18345959</v>
      </c>
    </row>
    <row r="362" ht="25.5" customHeight="1" spans="1:8">
      <c r="A362" s="185"/>
      <c r="B362" s="186"/>
      <c r="C362" s="187" t="s">
        <v>814</v>
      </c>
      <c r="D362" s="186" t="s">
        <v>815</v>
      </c>
      <c r="E362" s="197">
        <v>0.1</v>
      </c>
      <c r="F362" s="189"/>
      <c r="G362" s="190"/>
      <c r="H362" s="189">
        <f>ROUND(E362*H361,0)</f>
        <v>1834596</v>
      </c>
    </row>
    <row r="363" ht="30.75" customHeight="1" spans="1:8">
      <c r="A363" s="198"/>
      <c r="B363" s="199"/>
      <c r="C363" s="200" t="s">
        <v>816</v>
      </c>
      <c r="D363" s="199" t="s">
        <v>817</v>
      </c>
      <c r="E363" s="201"/>
      <c r="F363" s="202"/>
      <c r="G363" s="203"/>
      <c r="H363" s="204">
        <f>ROUND(H361+H362,0)</f>
        <v>20180555</v>
      </c>
    </row>
    <row r="364" ht="54.75" customHeight="1" spans="1:8">
      <c r="A364" s="166">
        <v>24</v>
      </c>
      <c r="B364" s="167" t="s">
        <v>193</v>
      </c>
      <c r="C364" s="168" t="s">
        <v>194</v>
      </c>
      <c r="D364" s="167" t="s">
        <v>55</v>
      </c>
      <c r="E364" s="169">
        <v>1</v>
      </c>
      <c r="F364" s="170"/>
      <c r="G364" s="166"/>
      <c r="H364" s="170"/>
    </row>
    <row r="365" ht="16.5" customHeight="1" spans="1:8">
      <c r="A365" s="171"/>
      <c r="B365" s="172"/>
      <c r="C365" s="173" t="s">
        <v>789</v>
      </c>
      <c r="D365" s="172"/>
      <c r="E365" s="174"/>
      <c r="F365" s="175"/>
      <c r="G365" s="176"/>
      <c r="H365" s="175">
        <f>ROUND(H374,0)</f>
        <v>873620</v>
      </c>
    </row>
    <row r="366" ht="16.5" customHeight="1" spans="2:8">
      <c r="B366" s="145" t="s">
        <v>560</v>
      </c>
      <c r="C366" s="146" t="s">
        <v>561</v>
      </c>
      <c r="D366" s="145" t="s">
        <v>55</v>
      </c>
      <c r="E366" s="177">
        <v>0.02</v>
      </c>
      <c r="F366" s="148">
        <v>2000000</v>
      </c>
      <c r="G366" s="144"/>
      <c r="H366" s="148">
        <f t="shared" ref="H366:H373" si="0">ROUND(E366*F366,0)</f>
        <v>40000</v>
      </c>
    </row>
    <row r="367" ht="16.5" customHeight="1" spans="2:8">
      <c r="B367" s="145" t="s">
        <v>536</v>
      </c>
      <c r="C367" s="146" t="s">
        <v>537</v>
      </c>
      <c r="D367" s="145" t="s">
        <v>518</v>
      </c>
      <c r="E367" s="177">
        <v>0.048</v>
      </c>
      <c r="F367" s="148">
        <v>20000</v>
      </c>
      <c r="G367" s="144"/>
      <c r="H367" s="148">
        <f t="shared" si="0"/>
        <v>960</v>
      </c>
    </row>
    <row r="368" ht="16.5" customHeight="1" spans="2:8">
      <c r="B368" s="145" t="s">
        <v>539</v>
      </c>
      <c r="C368" s="146" t="s">
        <v>540</v>
      </c>
      <c r="D368" s="145" t="s">
        <v>450</v>
      </c>
      <c r="E368" s="177">
        <v>0.352</v>
      </c>
      <c r="F368" s="148">
        <v>3000</v>
      </c>
      <c r="G368" s="144"/>
      <c r="H368" s="148">
        <f t="shared" si="0"/>
        <v>1056</v>
      </c>
    </row>
    <row r="369" ht="16.5" customHeight="1" spans="2:8">
      <c r="B369" s="145" t="s">
        <v>587</v>
      </c>
      <c r="C369" s="146" t="s">
        <v>588</v>
      </c>
      <c r="D369" s="145" t="s">
        <v>518</v>
      </c>
      <c r="E369" s="177">
        <v>415.125</v>
      </c>
      <c r="F369" s="148">
        <v>1140</v>
      </c>
      <c r="G369" s="144"/>
      <c r="H369" s="148">
        <f t="shared" si="0"/>
        <v>473243</v>
      </c>
    </row>
    <row r="370" ht="16.5" customHeight="1" spans="2:8">
      <c r="B370" s="145" t="s">
        <v>513</v>
      </c>
      <c r="C370" s="146" t="s">
        <v>514</v>
      </c>
      <c r="D370" s="145" t="s">
        <v>55</v>
      </c>
      <c r="E370" s="177">
        <v>0.4551</v>
      </c>
      <c r="F370" s="148">
        <v>258560</v>
      </c>
      <c r="G370" s="144"/>
      <c r="H370" s="148">
        <f t="shared" si="0"/>
        <v>117671</v>
      </c>
    </row>
    <row r="371" ht="16.5" customHeight="1" spans="2:8">
      <c r="B371" s="145" t="s">
        <v>527</v>
      </c>
      <c r="C371" s="146" t="s">
        <v>528</v>
      </c>
      <c r="D371" s="145" t="s">
        <v>55</v>
      </c>
      <c r="E371" s="177">
        <v>0.886625</v>
      </c>
      <c r="F371" s="148">
        <v>260000</v>
      </c>
      <c r="G371" s="144"/>
      <c r="H371" s="148">
        <f t="shared" si="0"/>
        <v>230523</v>
      </c>
    </row>
    <row r="372" ht="16.5" customHeight="1" spans="2:8">
      <c r="B372" s="145" t="s">
        <v>565</v>
      </c>
      <c r="C372" s="146" t="s">
        <v>566</v>
      </c>
      <c r="D372" s="145" t="s">
        <v>567</v>
      </c>
      <c r="E372" s="177">
        <v>189.625</v>
      </c>
      <c r="F372" s="148">
        <v>8</v>
      </c>
      <c r="G372" s="144"/>
      <c r="H372" s="148">
        <f t="shared" si="0"/>
        <v>1517</v>
      </c>
    </row>
    <row r="373" ht="16.5" customHeight="1" spans="2:8">
      <c r="B373" s="145" t="s">
        <v>793</v>
      </c>
      <c r="C373" s="146" t="s">
        <v>794</v>
      </c>
      <c r="D373" s="145" t="s">
        <v>792</v>
      </c>
      <c r="E373" s="177">
        <v>1</v>
      </c>
      <c r="F373" s="148">
        <f>ROUND(SUM(H366:H372)/100,0)</f>
        <v>8650</v>
      </c>
      <c r="G373" s="144"/>
      <c r="H373" s="148">
        <f t="shared" si="0"/>
        <v>8650</v>
      </c>
    </row>
    <row r="374" ht="16.5" customHeight="1" spans="2:8">
      <c r="B374" s="145"/>
      <c r="C374" s="146" t="s">
        <v>818</v>
      </c>
      <c r="D374" s="145"/>
      <c r="E374" s="205"/>
      <c r="F374" s="148"/>
      <c r="G374" s="144"/>
      <c r="H374" s="148">
        <f>ROUND(SUM(H366:H373),0)</f>
        <v>873620</v>
      </c>
    </row>
    <row r="375" ht="16.5" customHeight="1" spans="1:8">
      <c r="A375" s="171"/>
      <c r="B375" s="172"/>
      <c r="C375" s="173" t="s">
        <v>787</v>
      </c>
      <c r="D375" s="172"/>
      <c r="E375" s="174"/>
      <c r="F375" s="175"/>
      <c r="G375" s="176"/>
      <c r="H375" s="175">
        <f>ROUND(H376,0)</f>
        <v>1008711</v>
      </c>
    </row>
    <row r="376" ht="16.5" customHeight="1" spans="2:8">
      <c r="B376" s="145" t="s">
        <v>596</v>
      </c>
      <c r="C376" s="146" t="s">
        <v>597</v>
      </c>
      <c r="D376" s="145" t="s">
        <v>594</v>
      </c>
      <c r="E376" s="177">
        <v>4.5</v>
      </c>
      <c r="F376" s="148">
        <v>224158</v>
      </c>
      <c r="G376" s="178">
        <v>1</v>
      </c>
      <c r="H376" s="148">
        <f>ROUND(E376*F376*G376,0)</f>
        <v>1008711</v>
      </c>
    </row>
    <row r="377" ht="16.5" customHeight="1" spans="1:8">
      <c r="A377" s="171"/>
      <c r="B377" s="172"/>
      <c r="C377" s="173" t="s">
        <v>788</v>
      </c>
      <c r="D377" s="172"/>
      <c r="E377" s="174"/>
      <c r="F377" s="175"/>
      <c r="G377" s="176"/>
      <c r="H377" s="175">
        <f>ROUND(H380,0)</f>
        <v>71413</v>
      </c>
    </row>
    <row r="378" ht="16.5" customHeight="1" spans="2:8">
      <c r="B378" s="145" t="s">
        <v>642</v>
      </c>
      <c r="C378" s="146" t="s">
        <v>643</v>
      </c>
      <c r="D378" s="145" t="s">
        <v>612</v>
      </c>
      <c r="E378" s="177">
        <v>0.095</v>
      </c>
      <c r="F378" s="148">
        <v>301306</v>
      </c>
      <c r="G378" s="178">
        <v>1</v>
      </c>
      <c r="H378" s="148">
        <f>ROUND(E378*F378*G378,0)</f>
        <v>28624</v>
      </c>
    </row>
    <row r="379" ht="16.5" customHeight="1" spans="2:8">
      <c r="B379" s="145" t="s">
        <v>633</v>
      </c>
      <c r="C379" s="146" t="s">
        <v>634</v>
      </c>
      <c r="D379" s="145" t="s">
        <v>612</v>
      </c>
      <c r="E379" s="177">
        <v>0.18</v>
      </c>
      <c r="F379" s="148">
        <v>237717</v>
      </c>
      <c r="G379" s="178">
        <v>1</v>
      </c>
      <c r="H379" s="148">
        <f>ROUND(E379*F379*G379,0)</f>
        <v>42789</v>
      </c>
    </row>
    <row r="380" ht="16.5" customHeight="1" spans="2:8">
      <c r="B380" s="145"/>
      <c r="C380" s="146" t="s">
        <v>818</v>
      </c>
      <c r="D380" s="145"/>
      <c r="E380" s="205"/>
      <c r="F380" s="148"/>
      <c r="G380" s="144"/>
      <c r="H380" s="148">
        <f>ROUND(SUM(H378:H379),0)</f>
        <v>71413</v>
      </c>
    </row>
    <row r="381" ht="27.75" customHeight="1" spans="1:8">
      <c r="A381" s="179"/>
      <c r="B381" s="180"/>
      <c r="C381" s="181" t="s">
        <v>804</v>
      </c>
      <c r="D381" s="180" t="s">
        <v>805</v>
      </c>
      <c r="E381" s="182"/>
      <c r="F381" s="183"/>
      <c r="G381" s="184"/>
      <c r="H381" s="183">
        <f>ROUND(H365+H375+H377,0)</f>
        <v>1953744</v>
      </c>
    </row>
    <row r="382" ht="16.5" customHeight="1" spans="1:8">
      <c r="A382" s="185"/>
      <c r="B382" s="186"/>
      <c r="C382" s="187" t="s">
        <v>806</v>
      </c>
      <c r="D382" s="186" t="s">
        <v>807</v>
      </c>
      <c r="E382" s="188" t="s">
        <v>808</v>
      </c>
      <c r="F382" s="189"/>
      <c r="G382" s="190"/>
      <c r="H382" s="189">
        <v>111363</v>
      </c>
    </row>
    <row r="383" ht="25.5" customHeight="1" spans="1:8">
      <c r="A383" s="185"/>
      <c r="B383" s="186"/>
      <c r="C383" s="187" t="s">
        <v>809</v>
      </c>
      <c r="D383" s="186" t="s">
        <v>810</v>
      </c>
      <c r="E383" s="188" t="s">
        <v>811</v>
      </c>
      <c r="F383" s="189"/>
      <c r="G383" s="190"/>
      <c r="H383" s="189">
        <v>113581</v>
      </c>
    </row>
    <row r="384" ht="28.5" customHeight="1" spans="1:8">
      <c r="A384" s="191"/>
      <c r="B384" s="192"/>
      <c r="C384" s="193" t="s">
        <v>812</v>
      </c>
      <c r="D384" s="192" t="s">
        <v>813</v>
      </c>
      <c r="E384" s="194"/>
      <c r="F384" s="195"/>
      <c r="G384" s="196"/>
      <c r="H384" s="195">
        <f>ROUND(H381+H382+H383,0)</f>
        <v>2178688</v>
      </c>
    </row>
    <row r="385" ht="25.5" customHeight="1" spans="1:8">
      <c r="A385" s="185"/>
      <c r="B385" s="186"/>
      <c r="C385" s="187" t="s">
        <v>814</v>
      </c>
      <c r="D385" s="186" t="s">
        <v>815</v>
      </c>
      <c r="E385" s="197">
        <v>0.1</v>
      </c>
      <c r="F385" s="189"/>
      <c r="G385" s="190"/>
      <c r="H385" s="189">
        <f>ROUND(E385*H384,0)</f>
        <v>217869</v>
      </c>
    </row>
    <row r="386" ht="30.75" customHeight="1" spans="1:8">
      <c r="A386" s="198"/>
      <c r="B386" s="199"/>
      <c r="C386" s="200" t="s">
        <v>816</v>
      </c>
      <c r="D386" s="199" t="s">
        <v>817</v>
      </c>
      <c r="E386" s="201"/>
      <c r="F386" s="202"/>
      <c r="G386" s="203"/>
      <c r="H386" s="204">
        <f>ROUND(H384+H385,0)</f>
        <v>2396557</v>
      </c>
    </row>
    <row r="387" ht="29.25" customHeight="1" spans="1:8">
      <c r="A387" s="166">
        <v>25</v>
      </c>
      <c r="B387" s="167" t="s">
        <v>198</v>
      </c>
      <c r="C387" s="168" t="s">
        <v>200</v>
      </c>
      <c r="D387" s="167" t="s">
        <v>55</v>
      </c>
      <c r="E387" s="169">
        <v>1</v>
      </c>
      <c r="F387" s="170"/>
      <c r="G387" s="166"/>
      <c r="H387" s="170"/>
    </row>
    <row r="388" ht="16.5" customHeight="1" spans="1:8">
      <c r="A388" s="171"/>
      <c r="B388" s="172"/>
      <c r="C388" s="173" t="s">
        <v>789</v>
      </c>
      <c r="D388" s="172"/>
      <c r="E388" s="174"/>
      <c r="F388" s="175"/>
      <c r="G388" s="176"/>
      <c r="H388" s="175">
        <f>ROUND(H393,0)</f>
        <v>846063</v>
      </c>
    </row>
    <row r="389" ht="16.5" customHeight="1" spans="2:8">
      <c r="B389" s="145" t="s">
        <v>542</v>
      </c>
      <c r="C389" s="146" t="s">
        <v>543</v>
      </c>
      <c r="D389" s="145" t="s">
        <v>526</v>
      </c>
      <c r="E389" s="177">
        <v>539</v>
      </c>
      <c r="F389" s="148">
        <v>1314</v>
      </c>
      <c r="G389" s="144"/>
      <c r="H389" s="148">
        <f>ROUND(E389*F389,0)</f>
        <v>708246</v>
      </c>
    </row>
    <row r="390" ht="16.5" customHeight="1" spans="2:8">
      <c r="B390" s="145" t="s">
        <v>587</v>
      </c>
      <c r="C390" s="146" t="s">
        <v>588</v>
      </c>
      <c r="D390" s="145" t="s">
        <v>518</v>
      </c>
      <c r="E390" s="177">
        <v>96.009</v>
      </c>
      <c r="F390" s="148">
        <v>1140</v>
      </c>
      <c r="G390" s="144"/>
      <c r="H390" s="148">
        <f>ROUND(E390*F390,0)</f>
        <v>109450</v>
      </c>
    </row>
    <row r="391" ht="16.5" customHeight="1" spans="2:8">
      <c r="B391" s="145" t="s">
        <v>510</v>
      </c>
      <c r="C391" s="146" t="s">
        <v>511</v>
      </c>
      <c r="D391" s="145" t="s">
        <v>55</v>
      </c>
      <c r="E391" s="177">
        <v>0.327</v>
      </c>
      <c r="F391" s="148">
        <v>84840</v>
      </c>
      <c r="G391" s="144"/>
      <c r="H391" s="148">
        <f>ROUND(E391*F391,0)</f>
        <v>27743</v>
      </c>
    </row>
    <row r="392" ht="16.5" customHeight="1" spans="2:8">
      <c r="B392" s="145" t="s">
        <v>565</v>
      </c>
      <c r="C392" s="146" t="s">
        <v>566</v>
      </c>
      <c r="D392" s="145" t="s">
        <v>567</v>
      </c>
      <c r="E392" s="177">
        <v>78</v>
      </c>
      <c r="F392" s="148">
        <v>8</v>
      </c>
      <c r="G392" s="144"/>
      <c r="H392" s="148">
        <f>ROUND(E392*F392,0)</f>
        <v>624</v>
      </c>
    </row>
    <row r="393" ht="16.5" customHeight="1" spans="2:8">
      <c r="B393" s="145"/>
      <c r="C393" s="146" t="s">
        <v>818</v>
      </c>
      <c r="D393" s="145"/>
      <c r="E393" s="205"/>
      <c r="F393" s="148"/>
      <c r="G393" s="144"/>
      <c r="H393" s="148">
        <f>ROUND(SUM(H389:H392),0)</f>
        <v>846063</v>
      </c>
    </row>
    <row r="394" ht="16.5" customHeight="1" spans="1:8">
      <c r="A394" s="171"/>
      <c r="B394" s="172"/>
      <c r="C394" s="173" t="s">
        <v>787</v>
      </c>
      <c r="D394" s="172"/>
      <c r="E394" s="174"/>
      <c r="F394" s="175"/>
      <c r="G394" s="176"/>
      <c r="H394" s="175">
        <f>ROUND(H395,0)</f>
        <v>333995</v>
      </c>
    </row>
    <row r="395" ht="16.5" customHeight="1" spans="2:8">
      <c r="B395" s="145" t="s">
        <v>596</v>
      </c>
      <c r="C395" s="146" t="s">
        <v>597</v>
      </c>
      <c r="D395" s="145" t="s">
        <v>594</v>
      </c>
      <c r="E395" s="177">
        <v>1.49</v>
      </c>
      <c r="F395" s="148">
        <v>224158</v>
      </c>
      <c r="G395" s="178">
        <v>1</v>
      </c>
      <c r="H395" s="148">
        <f>ROUND(E395*F395*G395,0)</f>
        <v>333995</v>
      </c>
    </row>
    <row r="396" ht="27.75" customHeight="1" spans="1:8">
      <c r="A396" s="179"/>
      <c r="B396" s="180"/>
      <c r="C396" s="181" t="s">
        <v>804</v>
      </c>
      <c r="D396" s="180" t="s">
        <v>805</v>
      </c>
      <c r="E396" s="182"/>
      <c r="F396" s="183"/>
      <c r="G396" s="184"/>
      <c r="H396" s="183">
        <f>ROUND(H388+H394,0)</f>
        <v>1180058</v>
      </c>
    </row>
    <row r="397" ht="16.5" customHeight="1" spans="1:8">
      <c r="A397" s="185"/>
      <c r="B397" s="186"/>
      <c r="C397" s="187" t="s">
        <v>806</v>
      </c>
      <c r="D397" s="186" t="s">
        <v>807</v>
      </c>
      <c r="E397" s="188" t="s">
        <v>808</v>
      </c>
      <c r="F397" s="189"/>
      <c r="G397" s="190"/>
      <c r="H397" s="189">
        <v>67263</v>
      </c>
    </row>
    <row r="398" ht="25.5" customHeight="1" spans="1:8">
      <c r="A398" s="185"/>
      <c r="B398" s="186"/>
      <c r="C398" s="187" t="s">
        <v>809</v>
      </c>
      <c r="D398" s="186" t="s">
        <v>810</v>
      </c>
      <c r="E398" s="188" t="s">
        <v>811</v>
      </c>
      <c r="F398" s="189"/>
      <c r="G398" s="190"/>
      <c r="H398" s="189">
        <v>68603</v>
      </c>
    </row>
    <row r="399" ht="28.5" customHeight="1" spans="1:8">
      <c r="A399" s="191"/>
      <c r="B399" s="192"/>
      <c r="C399" s="193" t="s">
        <v>812</v>
      </c>
      <c r="D399" s="192" t="s">
        <v>813</v>
      </c>
      <c r="E399" s="194"/>
      <c r="F399" s="195"/>
      <c r="G399" s="196"/>
      <c r="H399" s="195">
        <f>ROUND(H396+H397+H398,0)</f>
        <v>1315924</v>
      </c>
    </row>
    <row r="400" ht="25.5" customHeight="1" spans="1:8">
      <c r="A400" s="185"/>
      <c r="B400" s="186"/>
      <c r="C400" s="187" t="s">
        <v>814</v>
      </c>
      <c r="D400" s="186" t="s">
        <v>815</v>
      </c>
      <c r="E400" s="197">
        <v>0.1</v>
      </c>
      <c r="F400" s="189"/>
      <c r="G400" s="190"/>
      <c r="H400" s="189">
        <f>ROUND(E400*H399,0)</f>
        <v>131592</v>
      </c>
    </row>
    <row r="401" ht="30.75" customHeight="1" spans="1:8">
      <c r="A401" s="198"/>
      <c r="B401" s="199"/>
      <c r="C401" s="200" t="s">
        <v>816</v>
      </c>
      <c r="D401" s="199" t="s">
        <v>817</v>
      </c>
      <c r="E401" s="201"/>
      <c r="F401" s="202"/>
      <c r="G401" s="203"/>
      <c r="H401" s="204">
        <f>ROUND(H399+H400,0)</f>
        <v>1447516</v>
      </c>
    </row>
    <row r="402" ht="29.25" customHeight="1" spans="1:8">
      <c r="A402" s="166">
        <v>26</v>
      </c>
      <c r="B402" s="167" t="s">
        <v>203</v>
      </c>
      <c r="C402" s="168" t="s">
        <v>204</v>
      </c>
      <c r="D402" s="167" t="s">
        <v>55</v>
      </c>
      <c r="E402" s="169">
        <v>1</v>
      </c>
      <c r="F402" s="170"/>
      <c r="G402" s="166"/>
      <c r="H402" s="170"/>
    </row>
    <row r="403" ht="16.5" customHeight="1" spans="1:8">
      <c r="A403" s="171"/>
      <c r="B403" s="172"/>
      <c r="C403" s="173" t="s">
        <v>789</v>
      </c>
      <c r="D403" s="172"/>
      <c r="E403" s="174"/>
      <c r="F403" s="175"/>
      <c r="G403" s="176"/>
      <c r="H403" s="175">
        <f>ROUND(H408,0)</f>
        <v>855923</v>
      </c>
    </row>
    <row r="404" ht="16.5" customHeight="1" spans="2:8">
      <c r="B404" s="145" t="s">
        <v>542</v>
      </c>
      <c r="C404" s="146" t="s">
        <v>543</v>
      </c>
      <c r="D404" s="145" t="s">
        <v>526</v>
      </c>
      <c r="E404" s="177">
        <v>550</v>
      </c>
      <c r="F404" s="148">
        <v>1314</v>
      </c>
      <c r="G404" s="144"/>
      <c r="H404" s="148">
        <f>ROUND(E404*F404,0)</f>
        <v>722700</v>
      </c>
    </row>
    <row r="405" ht="16.5" customHeight="1" spans="2:8">
      <c r="B405" s="145" t="s">
        <v>587</v>
      </c>
      <c r="C405" s="146" t="s">
        <v>588</v>
      </c>
      <c r="D405" s="145" t="s">
        <v>518</v>
      </c>
      <c r="E405" s="177">
        <v>92.8087</v>
      </c>
      <c r="F405" s="148">
        <v>1140</v>
      </c>
      <c r="G405" s="144"/>
      <c r="H405" s="148">
        <f>ROUND(E405*F405,0)</f>
        <v>105802</v>
      </c>
    </row>
    <row r="406" ht="16.5" customHeight="1" spans="2:8">
      <c r="B406" s="145" t="s">
        <v>510</v>
      </c>
      <c r="C406" s="146" t="s">
        <v>511</v>
      </c>
      <c r="D406" s="145" t="s">
        <v>55</v>
      </c>
      <c r="E406" s="177">
        <v>0.3161</v>
      </c>
      <c r="F406" s="148">
        <v>84840</v>
      </c>
      <c r="G406" s="144"/>
      <c r="H406" s="148">
        <f>ROUND(E406*F406,0)</f>
        <v>26818</v>
      </c>
    </row>
    <row r="407" ht="16.5" customHeight="1" spans="2:8">
      <c r="B407" s="145" t="s">
        <v>565</v>
      </c>
      <c r="C407" s="146" t="s">
        <v>566</v>
      </c>
      <c r="D407" s="145" t="s">
        <v>567</v>
      </c>
      <c r="E407" s="177">
        <v>75.4</v>
      </c>
      <c r="F407" s="148">
        <v>8</v>
      </c>
      <c r="G407" s="144"/>
      <c r="H407" s="148">
        <f>ROUND(E407*F407,0)</f>
        <v>603</v>
      </c>
    </row>
    <row r="408" ht="16.5" customHeight="1" spans="2:8">
      <c r="B408" s="145"/>
      <c r="C408" s="146" t="s">
        <v>818</v>
      </c>
      <c r="D408" s="145"/>
      <c r="E408" s="205"/>
      <c r="F408" s="148"/>
      <c r="G408" s="144"/>
      <c r="H408" s="148">
        <f>ROUND(SUM(H404:H407),0)</f>
        <v>855923</v>
      </c>
    </row>
    <row r="409" ht="16.5" customHeight="1" spans="1:8">
      <c r="A409" s="171"/>
      <c r="B409" s="172"/>
      <c r="C409" s="173" t="s">
        <v>787</v>
      </c>
      <c r="D409" s="172"/>
      <c r="E409" s="174"/>
      <c r="F409" s="175"/>
      <c r="G409" s="176"/>
      <c r="H409" s="175">
        <f>ROUND(H410,0)</f>
        <v>374344</v>
      </c>
    </row>
    <row r="410" ht="16.5" customHeight="1" spans="2:8">
      <c r="B410" s="145" t="s">
        <v>596</v>
      </c>
      <c r="C410" s="146" t="s">
        <v>597</v>
      </c>
      <c r="D410" s="145" t="s">
        <v>594</v>
      </c>
      <c r="E410" s="177">
        <v>1.67</v>
      </c>
      <c r="F410" s="148">
        <v>224158</v>
      </c>
      <c r="G410" s="178">
        <v>1</v>
      </c>
      <c r="H410" s="148">
        <f>ROUND(E410*F410*G410,0)</f>
        <v>374344</v>
      </c>
    </row>
    <row r="411" ht="27.75" customHeight="1" spans="1:8">
      <c r="A411" s="179"/>
      <c r="B411" s="180"/>
      <c r="C411" s="181" t="s">
        <v>804</v>
      </c>
      <c r="D411" s="180" t="s">
        <v>805</v>
      </c>
      <c r="E411" s="182"/>
      <c r="F411" s="183"/>
      <c r="G411" s="184"/>
      <c r="H411" s="183">
        <f>ROUND(H403+H409,0)</f>
        <v>1230267</v>
      </c>
    </row>
    <row r="412" ht="16.5" customHeight="1" spans="1:8">
      <c r="A412" s="185"/>
      <c r="B412" s="186"/>
      <c r="C412" s="187" t="s">
        <v>806</v>
      </c>
      <c r="D412" s="186" t="s">
        <v>807</v>
      </c>
      <c r="E412" s="188" t="s">
        <v>808</v>
      </c>
      <c r="F412" s="189"/>
      <c r="G412" s="190"/>
      <c r="H412" s="189">
        <v>70125</v>
      </c>
    </row>
    <row r="413" ht="25.5" customHeight="1" spans="1:8">
      <c r="A413" s="185"/>
      <c r="B413" s="186"/>
      <c r="C413" s="187" t="s">
        <v>809</v>
      </c>
      <c r="D413" s="186" t="s">
        <v>810</v>
      </c>
      <c r="E413" s="188" t="s">
        <v>811</v>
      </c>
      <c r="F413" s="189"/>
      <c r="G413" s="190"/>
      <c r="H413" s="189">
        <v>71522</v>
      </c>
    </row>
    <row r="414" ht="28.5" customHeight="1" spans="1:8">
      <c r="A414" s="191"/>
      <c r="B414" s="192"/>
      <c r="C414" s="193" t="s">
        <v>812</v>
      </c>
      <c r="D414" s="192" t="s">
        <v>813</v>
      </c>
      <c r="E414" s="194"/>
      <c r="F414" s="195"/>
      <c r="G414" s="196"/>
      <c r="H414" s="195">
        <f>ROUND(H411+H412+H413,0)</f>
        <v>1371914</v>
      </c>
    </row>
    <row r="415" ht="25.5" customHeight="1" spans="1:8">
      <c r="A415" s="185"/>
      <c r="B415" s="186"/>
      <c r="C415" s="187" t="s">
        <v>814</v>
      </c>
      <c r="D415" s="186" t="s">
        <v>815</v>
      </c>
      <c r="E415" s="197">
        <v>0.1</v>
      </c>
      <c r="F415" s="189"/>
      <c r="G415" s="190"/>
      <c r="H415" s="189">
        <f>ROUND(E415*H414,0)</f>
        <v>137191</v>
      </c>
    </row>
    <row r="416" ht="30.75" customHeight="1" spans="1:8">
      <c r="A416" s="198"/>
      <c r="B416" s="199"/>
      <c r="C416" s="200" t="s">
        <v>816</v>
      </c>
      <c r="D416" s="199" t="s">
        <v>817</v>
      </c>
      <c r="E416" s="201"/>
      <c r="F416" s="202"/>
      <c r="G416" s="203"/>
      <c r="H416" s="204">
        <f>ROUND(H414+H415,0)</f>
        <v>1509105</v>
      </c>
    </row>
    <row r="417" ht="26.25" customHeight="1" spans="1:7">
      <c r="A417" s="206" t="str">
        <f>A1</f>
        <v>BẢNG CHIẾT TÍNH DỰ THẦU HẠNG MỤC CÔNG TRÌNH</v>
      </c>
      <c r="B417" s="145"/>
      <c r="C417" s="146"/>
      <c r="D417" s="145"/>
      <c r="E417" s="205"/>
      <c r="G417" s="144"/>
    </row>
    <row r="418" ht="33" customHeight="1" spans="1:7">
      <c r="A418" s="199" t="s">
        <v>1</v>
      </c>
      <c r="B418" s="145"/>
      <c r="C418" s="146"/>
      <c r="D418" s="145"/>
      <c r="E418" s="205"/>
      <c r="G418" s="144"/>
    </row>
    <row r="419" ht="37.5" customHeight="1" spans="1:7">
      <c r="A419" s="207" t="s">
        <v>209</v>
      </c>
      <c r="B419" s="145"/>
      <c r="C419" s="146"/>
      <c r="D419" s="145"/>
      <c r="E419" s="205"/>
      <c r="G419" s="144"/>
    </row>
    <row r="420" ht="26.25" customHeight="1" spans="1:8">
      <c r="A420" s="139" t="str">
        <f t="shared" ref="A420:H420" si="1">A10</f>
        <v>STT</v>
      </c>
      <c r="B420" s="155" t="str">
        <f t="shared" si="1"/>
        <v>Mã số</v>
      </c>
      <c r="C420" s="155" t="str">
        <f t="shared" si="1"/>
        <v>Thành phần hao phí</v>
      </c>
      <c r="D420" s="155" t="str">
        <f t="shared" si="1"/>
        <v>Đơn vị</v>
      </c>
      <c r="E420" s="208" t="str">
        <f t="shared" si="1"/>
        <v>Định mức</v>
      </c>
      <c r="F420" s="139" t="str">
        <f t="shared" si="1"/>
        <v>Đơn giá</v>
      </c>
      <c r="G420" s="139" t="str">
        <f t="shared" si="1"/>
        <v>Hệ số</v>
      </c>
      <c r="H420" s="139" t="str">
        <f t="shared" si="1"/>
        <v>Thành tiền</v>
      </c>
    </row>
    <row r="421" ht="67.5" customHeight="1" spans="1:8">
      <c r="A421" s="166">
        <v>1</v>
      </c>
      <c r="B421" s="167" t="s">
        <v>211</v>
      </c>
      <c r="C421" s="168" t="s">
        <v>212</v>
      </c>
      <c r="D421" s="167" t="s">
        <v>107</v>
      </c>
      <c r="E421" s="169">
        <v>1</v>
      </c>
      <c r="F421" s="170"/>
      <c r="G421" s="166"/>
      <c r="H421" s="170"/>
    </row>
    <row r="422" ht="16.5" customHeight="1" spans="1:8">
      <c r="A422" s="171"/>
      <c r="B422" s="172"/>
      <c r="C422" s="173" t="s">
        <v>789</v>
      </c>
      <c r="D422" s="172"/>
      <c r="E422" s="174"/>
      <c r="F422" s="175"/>
      <c r="G422" s="176"/>
      <c r="H422" s="175">
        <f>ROUND(H426,0)</f>
        <v>3199740</v>
      </c>
    </row>
    <row r="423" ht="16.5" customHeight="1" spans="2:8">
      <c r="B423" s="145" t="s">
        <v>581</v>
      </c>
      <c r="C423" s="146" t="s">
        <v>582</v>
      </c>
      <c r="D423" s="145" t="s">
        <v>583</v>
      </c>
      <c r="E423" s="177">
        <v>10.5</v>
      </c>
      <c r="F423" s="148">
        <v>200000</v>
      </c>
      <c r="G423" s="144"/>
      <c r="H423" s="148">
        <f>ROUND(E423*F423,0)</f>
        <v>2100000</v>
      </c>
    </row>
    <row r="424" ht="16.5" customHeight="1" spans="2:8">
      <c r="B424" s="145" t="s">
        <v>562</v>
      </c>
      <c r="C424" s="146" t="s">
        <v>563</v>
      </c>
      <c r="D424" s="145" t="s">
        <v>518</v>
      </c>
      <c r="E424" s="177">
        <v>13.73</v>
      </c>
      <c r="F424" s="148">
        <v>69000</v>
      </c>
      <c r="G424" s="144"/>
      <c r="H424" s="148">
        <f>ROUND(E424*F424,0)</f>
        <v>947370</v>
      </c>
    </row>
    <row r="425" ht="16.5" customHeight="1" spans="2:8">
      <c r="B425" s="145" t="s">
        <v>793</v>
      </c>
      <c r="C425" s="146" t="s">
        <v>794</v>
      </c>
      <c r="D425" s="145" t="s">
        <v>792</v>
      </c>
      <c r="E425" s="177">
        <v>5</v>
      </c>
      <c r="F425" s="148">
        <f>ROUND(SUM(H423:H424)/100,0)</f>
        <v>30474</v>
      </c>
      <c r="G425" s="144"/>
      <c r="H425" s="148">
        <f>ROUND(E425*F425,0)</f>
        <v>152370</v>
      </c>
    </row>
    <row r="426" ht="16.5" customHeight="1" spans="2:8">
      <c r="B426" s="145"/>
      <c r="C426" s="146" t="s">
        <v>818</v>
      </c>
      <c r="D426" s="145"/>
      <c r="E426" s="205"/>
      <c r="F426" s="148"/>
      <c r="G426" s="144"/>
      <c r="H426" s="148">
        <f>ROUND(SUM(H423:H425),0)</f>
        <v>3199740</v>
      </c>
    </row>
    <row r="427" ht="16.5" customHeight="1" spans="1:8">
      <c r="A427" s="171"/>
      <c r="B427" s="172"/>
      <c r="C427" s="173" t="s">
        <v>787</v>
      </c>
      <c r="D427" s="172"/>
      <c r="E427" s="174"/>
      <c r="F427" s="175"/>
      <c r="G427" s="176"/>
      <c r="H427" s="175">
        <f>ROUND(H428,0)</f>
        <v>6007271</v>
      </c>
    </row>
    <row r="428" ht="16.5" customHeight="1" spans="2:8">
      <c r="B428" s="145" t="s">
        <v>602</v>
      </c>
      <c r="C428" s="146" t="s">
        <v>603</v>
      </c>
      <c r="D428" s="145" t="s">
        <v>594</v>
      </c>
      <c r="E428" s="177">
        <v>24.75</v>
      </c>
      <c r="F428" s="148">
        <v>242718</v>
      </c>
      <c r="G428" s="178">
        <v>1</v>
      </c>
      <c r="H428" s="148">
        <f>ROUND(E428*F428*G428,0)</f>
        <v>6007271</v>
      </c>
    </row>
    <row r="429" ht="16.5" customHeight="1" spans="1:8">
      <c r="A429" s="171"/>
      <c r="B429" s="172"/>
      <c r="C429" s="173" t="s">
        <v>788</v>
      </c>
      <c r="D429" s="172"/>
      <c r="E429" s="174"/>
      <c r="F429" s="175"/>
      <c r="G429" s="176"/>
      <c r="H429" s="175">
        <f>ROUND(H433,0)</f>
        <v>924031</v>
      </c>
    </row>
    <row r="430" ht="16.5" customHeight="1" spans="2:8">
      <c r="B430" s="145" t="s">
        <v>659</v>
      </c>
      <c r="C430" s="146" t="s">
        <v>657</v>
      </c>
      <c r="D430" s="145" t="s">
        <v>612</v>
      </c>
      <c r="E430" s="177">
        <v>0.25</v>
      </c>
      <c r="F430" s="148">
        <v>740827</v>
      </c>
      <c r="G430" s="178">
        <v>1</v>
      </c>
      <c r="H430" s="148">
        <f>ROUND(E430*F430*G430,0)</f>
        <v>185207</v>
      </c>
    </row>
    <row r="431" ht="16.5" customHeight="1" spans="2:8">
      <c r="B431" s="145" t="s">
        <v>614</v>
      </c>
      <c r="C431" s="146" t="s">
        <v>615</v>
      </c>
      <c r="D431" s="145" t="s">
        <v>612</v>
      </c>
      <c r="E431" s="177">
        <v>0.25</v>
      </c>
      <c r="F431" s="148">
        <v>2882825</v>
      </c>
      <c r="G431" s="178">
        <v>1</v>
      </c>
      <c r="H431" s="148">
        <f>ROUND(E431*F431*G431,0)</f>
        <v>720706</v>
      </c>
    </row>
    <row r="432" ht="16.5" customHeight="1" spans="2:8">
      <c r="B432" s="145" t="s">
        <v>790</v>
      </c>
      <c r="C432" s="146" t="s">
        <v>791</v>
      </c>
      <c r="D432" s="145" t="s">
        <v>792</v>
      </c>
      <c r="E432" s="177">
        <v>2</v>
      </c>
      <c r="F432" s="148">
        <f>ROUND(SUM(H430:H431)/100,0)</f>
        <v>9059</v>
      </c>
      <c r="G432" s="144"/>
      <c r="H432" s="148">
        <f>ROUND(E432*F432,0)</f>
        <v>18118</v>
      </c>
    </row>
    <row r="433" ht="16.5" customHeight="1" spans="2:8">
      <c r="B433" s="145"/>
      <c r="C433" s="146" t="s">
        <v>818</v>
      </c>
      <c r="D433" s="145"/>
      <c r="E433" s="205"/>
      <c r="F433" s="148"/>
      <c r="G433" s="144"/>
      <c r="H433" s="148">
        <f>ROUND(SUM(H430:H432),0)</f>
        <v>924031</v>
      </c>
    </row>
    <row r="434" ht="27.75" customHeight="1" spans="1:8">
      <c r="A434" s="179"/>
      <c r="B434" s="180"/>
      <c r="C434" s="181" t="s">
        <v>804</v>
      </c>
      <c r="D434" s="180" t="s">
        <v>805</v>
      </c>
      <c r="E434" s="182"/>
      <c r="F434" s="183"/>
      <c r="G434" s="184"/>
      <c r="H434" s="183">
        <f>ROUND(H422+H427+H429,0)</f>
        <v>10131042</v>
      </c>
    </row>
    <row r="435" ht="16.5" customHeight="1" spans="1:8">
      <c r="A435" s="185"/>
      <c r="B435" s="186"/>
      <c r="C435" s="187" t="s">
        <v>806</v>
      </c>
      <c r="D435" s="186" t="s">
        <v>807</v>
      </c>
      <c r="E435" s="188" t="s">
        <v>808</v>
      </c>
      <c r="F435" s="189"/>
      <c r="G435" s="190"/>
      <c r="H435" s="189">
        <v>577469</v>
      </c>
    </row>
    <row r="436" ht="25.5" customHeight="1" spans="1:8">
      <c r="A436" s="185"/>
      <c r="B436" s="186"/>
      <c r="C436" s="187" t="s">
        <v>809</v>
      </c>
      <c r="D436" s="186" t="s">
        <v>810</v>
      </c>
      <c r="E436" s="188" t="s">
        <v>811</v>
      </c>
      <c r="F436" s="189"/>
      <c r="G436" s="190"/>
      <c r="H436" s="189">
        <v>588968</v>
      </c>
    </row>
    <row r="437" ht="28.5" customHeight="1" spans="1:8">
      <c r="A437" s="191"/>
      <c r="B437" s="192"/>
      <c r="C437" s="193" t="s">
        <v>812</v>
      </c>
      <c r="D437" s="192" t="s">
        <v>813</v>
      </c>
      <c r="E437" s="194"/>
      <c r="F437" s="195"/>
      <c r="G437" s="196"/>
      <c r="H437" s="195">
        <f>ROUND(H434+H435+H436,0)</f>
        <v>11297479</v>
      </c>
    </row>
    <row r="438" ht="25.5" customHeight="1" spans="1:8">
      <c r="A438" s="185"/>
      <c r="B438" s="186"/>
      <c r="C438" s="187" t="s">
        <v>814</v>
      </c>
      <c r="D438" s="186" t="s">
        <v>815</v>
      </c>
      <c r="E438" s="197">
        <v>0.1</v>
      </c>
      <c r="F438" s="189"/>
      <c r="G438" s="190"/>
      <c r="H438" s="189">
        <f>ROUND(E438*H437,0)</f>
        <v>1129748</v>
      </c>
    </row>
    <row r="439" ht="30.75" customHeight="1" spans="1:8">
      <c r="A439" s="198"/>
      <c r="B439" s="199"/>
      <c r="C439" s="200" t="s">
        <v>816</v>
      </c>
      <c r="D439" s="199" t="s">
        <v>817</v>
      </c>
      <c r="E439" s="201"/>
      <c r="F439" s="202"/>
      <c r="G439" s="203"/>
      <c r="H439" s="204">
        <f>ROUND(H437+H438,0)</f>
        <v>12427227</v>
      </c>
    </row>
    <row r="440" ht="54.75" customHeight="1" spans="1:8">
      <c r="A440" s="166">
        <v>2</v>
      </c>
      <c r="B440" s="167" t="s">
        <v>221</v>
      </c>
      <c r="C440" s="168" t="s">
        <v>222</v>
      </c>
      <c r="D440" s="167" t="s">
        <v>114</v>
      </c>
      <c r="E440" s="169">
        <v>1</v>
      </c>
      <c r="F440" s="170"/>
      <c r="G440" s="166"/>
      <c r="H440" s="170"/>
    </row>
    <row r="441" ht="16.5" customHeight="1" spans="1:8">
      <c r="A441" s="171"/>
      <c r="B441" s="172"/>
      <c r="C441" s="173" t="s">
        <v>789</v>
      </c>
      <c r="D441" s="172"/>
      <c r="E441" s="174"/>
      <c r="F441" s="175"/>
      <c r="G441" s="176"/>
      <c r="H441" s="175">
        <f>ROUND(H444,0)</f>
        <v>13392900</v>
      </c>
    </row>
    <row r="442" ht="16.5" customHeight="1" spans="2:8">
      <c r="B442" s="145" t="s">
        <v>572</v>
      </c>
      <c r="C442" s="146" t="s">
        <v>573</v>
      </c>
      <c r="D442" s="145" t="s">
        <v>518</v>
      </c>
      <c r="E442" s="177">
        <v>1005</v>
      </c>
      <c r="F442" s="148">
        <v>12900</v>
      </c>
      <c r="G442" s="144"/>
      <c r="H442" s="148">
        <f>ROUND(E442*F442,0)</f>
        <v>12964500</v>
      </c>
    </row>
    <row r="443" ht="16.5" customHeight="1" spans="2:8">
      <c r="B443" s="145" t="s">
        <v>521</v>
      </c>
      <c r="C443" s="146" t="s">
        <v>522</v>
      </c>
      <c r="D443" s="145" t="s">
        <v>518</v>
      </c>
      <c r="E443" s="177">
        <v>21.42</v>
      </c>
      <c r="F443" s="148">
        <v>20000</v>
      </c>
      <c r="G443" s="144"/>
      <c r="H443" s="148">
        <f>ROUND(E443*F443,0)</f>
        <v>428400</v>
      </c>
    </row>
    <row r="444" ht="16.5" customHeight="1" spans="2:8">
      <c r="B444" s="145"/>
      <c r="C444" s="146" t="s">
        <v>818</v>
      </c>
      <c r="D444" s="145"/>
      <c r="E444" s="205"/>
      <c r="F444" s="148"/>
      <c r="G444" s="144"/>
      <c r="H444" s="148">
        <f>ROUND(SUM(H442:H443),0)</f>
        <v>13392900</v>
      </c>
    </row>
    <row r="445" ht="16.5" customHeight="1" spans="1:8">
      <c r="A445" s="171"/>
      <c r="B445" s="172"/>
      <c r="C445" s="173" t="s">
        <v>787</v>
      </c>
      <c r="D445" s="172"/>
      <c r="E445" s="174"/>
      <c r="F445" s="175"/>
      <c r="G445" s="176"/>
      <c r="H445" s="175">
        <f>ROUND(H446,0)</f>
        <v>3761371</v>
      </c>
    </row>
    <row r="446" ht="16.5" customHeight="1" spans="2:8">
      <c r="B446" s="145" t="s">
        <v>596</v>
      </c>
      <c r="C446" s="146" t="s">
        <v>597</v>
      </c>
      <c r="D446" s="145" t="s">
        <v>594</v>
      </c>
      <c r="E446" s="177">
        <v>16.78</v>
      </c>
      <c r="F446" s="148">
        <v>224158</v>
      </c>
      <c r="G446" s="178">
        <v>1</v>
      </c>
      <c r="H446" s="148">
        <f>ROUND(E446*F446*G446,0)</f>
        <v>3761371</v>
      </c>
    </row>
    <row r="447" ht="16.5" customHeight="1" spans="1:8">
      <c r="A447" s="171"/>
      <c r="B447" s="172"/>
      <c r="C447" s="173" t="s">
        <v>788</v>
      </c>
      <c r="D447" s="172"/>
      <c r="E447" s="174"/>
      <c r="F447" s="175"/>
      <c r="G447" s="176"/>
      <c r="H447" s="175">
        <f>ROUND(H452,0)</f>
        <v>208988</v>
      </c>
    </row>
    <row r="448" ht="16.5" customHeight="1" spans="2:8">
      <c r="B448" s="145" t="s">
        <v>621</v>
      </c>
      <c r="C448" s="146" t="s">
        <v>622</v>
      </c>
      <c r="D448" s="145" t="s">
        <v>612</v>
      </c>
      <c r="E448" s="177">
        <v>0.4</v>
      </c>
      <c r="F448" s="148">
        <v>240449</v>
      </c>
      <c r="G448" s="178">
        <v>1</v>
      </c>
      <c r="H448" s="148">
        <f>ROUND(E448*F448*G448,0)</f>
        <v>96180</v>
      </c>
    </row>
    <row r="449" ht="16.5" customHeight="1" spans="2:8">
      <c r="B449" s="145" t="s">
        <v>656</v>
      </c>
      <c r="C449" s="146" t="s">
        <v>657</v>
      </c>
      <c r="D449" s="145" t="s">
        <v>612</v>
      </c>
      <c r="E449" s="177">
        <v>0.03</v>
      </c>
      <c r="F449" s="148">
        <v>740827</v>
      </c>
      <c r="G449" s="178">
        <v>1</v>
      </c>
      <c r="H449" s="148">
        <f>ROUND(E449*F449*G449,0)</f>
        <v>22225</v>
      </c>
    </row>
    <row r="450" ht="16.5" customHeight="1" spans="2:8">
      <c r="B450" s="145" t="s">
        <v>614</v>
      </c>
      <c r="C450" s="146" t="s">
        <v>615</v>
      </c>
      <c r="D450" s="145" t="s">
        <v>612</v>
      </c>
      <c r="E450" s="177">
        <v>0.03</v>
      </c>
      <c r="F450" s="148">
        <v>2882825</v>
      </c>
      <c r="G450" s="178">
        <v>1</v>
      </c>
      <c r="H450" s="148">
        <f>ROUND(E450*F450*G450,0)</f>
        <v>86485</v>
      </c>
    </row>
    <row r="451" ht="16.5" customHeight="1" spans="2:8">
      <c r="B451" s="145" t="s">
        <v>790</v>
      </c>
      <c r="C451" s="146" t="s">
        <v>791</v>
      </c>
      <c r="D451" s="145" t="s">
        <v>792</v>
      </c>
      <c r="E451" s="177">
        <v>2</v>
      </c>
      <c r="F451" s="148">
        <f>ROUND(SUM(H448:H450)/100,0)</f>
        <v>2049</v>
      </c>
      <c r="G451" s="144"/>
      <c r="H451" s="148">
        <f>ROUND(E451*F451,0)</f>
        <v>4098</v>
      </c>
    </row>
    <row r="452" ht="16.5" customHeight="1" spans="2:8">
      <c r="B452" s="145"/>
      <c r="C452" s="146" t="s">
        <v>818</v>
      </c>
      <c r="D452" s="145"/>
      <c r="E452" s="205"/>
      <c r="F452" s="148"/>
      <c r="G452" s="144"/>
      <c r="H452" s="148">
        <f>ROUND(SUM(H448:H451),0)</f>
        <v>208988</v>
      </c>
    </row>
    <row r="453" ht="27.75" customHeight="1" spans="1:8">
      <c r="A453" s="179"/>
      <c r="B453" s="180"/>
      <c r="C453" s="181" t="s">
        <v>804</v>
      </c>
      <c r="D453" s="180" t="s">
        <v>805</v>
      </c>
      <c r="E453" s="182"/>
      <c r="F453" s="183"/>
      <c r="G453" s="184"/>
      <c r="H453" s="183">
        <f>ROUND(H441+H445+H447,0)</f>
        <v>17363259</v>
      </c>
    </row>
    <row r="454" ht="16.5" customHeight="1" spans="1:8">
      <c r="A454" s="185"/>
      <c r="B454" s="186"/>
      <c r="C454" s="187" t="s">
        <v>806</v>
      </c>
      <c r="D454" s="186" t="s">
        <v>807</v>
      </c>
      <c r="E454" s="188" t="s">
        <v>808</v>
      </c>
      <c r="F454" s="189"/>
      <c r="G454" s="190"/>
      <c r="H454" s="189">
        <v>989706</v>
      </c>
    </row>
    <row r="455" ht="25.5" customHeight="1" spans="1:8">
      <c r="A455" s="185"/>
      <c r="B455" s="186"/>
      <c r="C455" s="187" t="s">
        <v>809</v>
      </c>
      <c r="D455" s="186" t="s">
        <v>810</v>
      </c>
      <c r="E455" s="188" t="s">
        <v>811</v>
      </c>
      <c r="F455" s="189"/>
      <c r="G455" s="190"/>
      <c r="H455" s="189">
        <v>1009413</v>
      </c>
    </row>
    <row r="456" ht="28.5" customHeight="1" spans="1:8">
      <c r="A456" s="191"/>
      <c r="B456" s="192"/>
      <c r="C456" s="193" t="s">
        <v>812</v>
      </c>
      <c r="D456" s="192" t="s">
        <v>813</v>
      </c>
      <c r="E456" s="194"/>
      <c r="F456" s="195"/>
      <c r="G456" s="196"/>
      <c r="H456" s="195">
        <f>ROUND(H453+H454+H455,0)</f>
        <v>19362378</v>
      </c>
    </row>
    <row r="457" ht="25.5" customHeight="1" spans="1:8">
      <c r="A457" s="185"/>
      <c r="B457" s="186"/>
      <c r="C457" s="187" t="s">
        <v>814</v>
      </c>
      <c r="D457" s="186" t="s">
        <v>815</v>
      </c>
      <c r="E457" s="197">
        <v>0.1</v>
      </c>
      <c r="F457" s="189"/>
      <c r="G457" s="190"/>
      <c r="H457" s="189">
        <f>ROUND(E457*H456,0)</f>
        <v>1936238</v>
      </c>
    </row>
    <row r="458" ht="30.75" customHeight="1" spans="1:8">
      <c r="A458" s="198"/>
      <c r="B458" s="199"/>
      <c r="C458" s="200" t="s">
        <v>816</v>
      </c>
      <c r="D458" s="199" t="s">
        <v>817</v>
      </c>
      <c r="E458" s="201"/>
      <c r="F458" s="202"/>
      <c r="G458" s="203"/>
      <c r="H458" s="204">
        <f>ROUND(H456+H457,0)</f>
        <v>21298616</v>
      </c>
    </row>
    <row r="459" ht="54.75" customHeight="1" spans="1:8">
      <c r="A459" s="166">
        <v>3</v>
      </c>
      <c r="B459" s="167" t="s">
        <v>229</v>
      </c>
      <c r="C459" s="168" t="s">
        <v>230</v>
      </c>
      <c r="D459" s="167" t="s">
        <v>114</v>
      </c>
      <c r="E459" s="169">
        <v>1</v>
      </c>
      <c r="F459" s="170"/>
      <c r="G459" s="166"/>
      <c r="H459" s="170"/>
    </row>
    <row r="460" ht="16.5" customHeight="1" spans="1:8">
      <c r="A460" s="171"/>
      <c r="B460" s="172"/>
      <c r="C460" s="173" t="s">
        <v>789</v>
      </c>
      <c r="D460" s="172"/>
      <c r="E460" s="174"/>
      <c r="F460" s="175"/>
      <c r="G460" s="176"/>
      <c r="H460" s="175">
        <f>ROUND(H464,0)</f>
        <v>13947036</v>
      </c>
    </row>
    <row r="461" ht="16.5" customHeight="1" spans="2:8">
      <c r="B461" s="145" t="s">
        <v>575</v>
      </c>
      <c r="C461" s="146" t="s">
        <v>576</v>
      </c>
      <c r="D461" s="145" t="s">
        <v>518</v>
      </c>
      <c r="E461" s="177">
        <v>1020</v>
      </c>
      <c r="F461" s="148">
        <v>13300</v>
      </c>
      <c r="G461" s="144"/>
      <c r="H461" s="148">
        <f>ROUND(E461*F461,0)</f>
        <v>13566000</v>
      </c>
    </row>
    <row r="462" ht="16.5" customHeight="1" spans="2:8">
      <c r="B462" s="145" t="s">
        <v>521</v>
      </c>
      <c r="C462" s="146" t="s">
        <v>522</v>
      </c>
      <c r="D462" s="145" t="s">
        <v>518</v>
      </c>
      <c r="E462" s="177">
        <v>14.28</v>
      </c>
      <c r="F462" s="148">
        <v>20000</v>
      </c>
      <c r="G462" s="144"/>
      <c r="H462" s="148">
        <f>ROUND(E462*F462,0)</f>
        <v>285600</v>
      </c>
    </row>
    <row r="463" ht="16.5" customHeight="1" spans="2:8">
      <c r="B463" s="145" t="s">
        <v>569</v>
      </c>
      <c r="C463" s="146" t="s">
        <v>570</v>
      </c>
      <c r="D463" s="145" t="s">
        <v>518</v>
      </c>
      <c r="E463" s="177">
        <v>4.82</v>
      </c>
      <c r="F463" s="148">
        <v>19800</v>
      </c>
      <c r="G463" s="144"/>
      <c r="H463" s="148">
        <f>ROUND(E463*F463,0)</f>
        <v>95436</v>
      </c>
    </row>
    <row r="464" ht="16.5" customHeight="1" spans="2:8">
      <c r="B464" s="145"/>
      <c r="C464" s="146" t="s">
        <v>818</v>
      </c>
      <c r="D464" s="145"/>
      <c r="E464" s="205"/>
      <c r="F464" s="148"/>
      <c r="G464" s="144"/>
      <c r="H464" s="148">
        <f>ROUND(SUM(H461:H463),0)</f>
        <v>13947036</v>
      </c>
    </row>
    <row r="465" ht="16.5" customHeight="1" spans="1:8">
      <c r="A465" s="171"/>
      <c r="B465" s="172"/>
      <c r="C465" s="173" t="s">
        <v>787</v>
      </c>
      <c r="D465" s="172"/>
      <c r="E465" s="174"/>
      <c r="F465" s="175"/>
      <c r="G465" s="176"/>
      <c r="H465" s="175">
        <f>ROUND(H466,0)</f>
        <v>2512811</v>
      </c>
    </row>
    <row r="466" ht="16.5" customHeight="1" spans="2:8">
      <c r="B466" s="145" t="s">
        <v>596</v>
      </c>
      <c r="C466" s="146" t="s">
        <v>597</v>
      </c>
      <c r="D466" s="145" t="s">
        <v>594</v>
      </c>
      <c r="E466" s="177">
        <v>11.21</v>
      </c>
      <c r="F466" s="148">
        <v>224158</v>
      </c>
      <c r="G466" s="178">
        <v>1</v>
      </c>
      <c r="H466" s="148">
        <f>ROUND(E466*F466*G466,0)</f>
        <v>2512811</v>
      </c>
    </row>
    <row r="467" ht="16.5" customHeight="1" spans="1:8">
      <c r="A467" s="171"/>
      <c r="B467" s="172"/>
      <c r="C467" s="173" t="s">
        <v>788</v>
      </c>
      <c r="D467" s="172"/>
      <c r="E467" s="174"/>
      <c r="F467" s="175"/>
      <c r="G467" s="176"/>
      <c r="H467" s="175">
        <f>ROUND(H473,0)</f>
        <v>598183</v>
      </c>
    </row>
    <row r="468" ht="16.5" customHeight="1" spans="2:8">
      <c r="B468" s="145" t="s">
        <v>636</v>
      </c>
      <c r="C468" s="146" t="s">
        <v>637</v>
      </c>
      <c r="D468" s="145" t="s">
        <v>612</v>
      </c>
      <c r="E468" s="177">
        <v>1.16</v>
      </c>
      <c r="F468" s="148">
        <v>361135</v>
      </c>
      <c r="G468" s="178">
        <v>1</v>
      </c>
      <c r="H468" s="148">
        <f>ROUND(E468*F468*G468,0)</f>
        <v>418917</v>
      </c>
    </row>
    <row r="469" ht="16.5" customHeight="1" spans="2:8">
      <c r="B469" s="145" t="s">
        <v>621</v>
      </c>
      <c r="C469" s="146" t="s">
        <v>622</v>
      </c>
      <c r="D469" s="145" t="s">
        <v>612</v>
      </c>
      <c r="E469" s="177">
        <v>0.32</v>
      </c>
      <c r="F469" s="148">
        <v>240449</v>
      </c>
      <c r="G469" s="178">
        <v>1</v>
      </c>
      <c r="H469" s="148">
        <f>ROUND(E469*F469*G469,0)</f>
        <v>76944</v>
      </c>
    </row>
    <row r="470" ht="16.5" customHeight="1" spans="2:8">
      <c r="B470" s="145" t="s">
        <v>656</v>
      </c>
      <c r="C470" s="146" t="s">
        <v>657</v>
      </c>
      <c r="D470" s="145" t="s">
        <v>612</v>
      </c>
      <c r="E470" s="177">
        <v>0.025</v>
      </c>
      <c r="F470" s="148">
        <v>740827</v>
      </c>
      <c r="G470" s="178">
        <v>1</v>
      </c>
      <c r="H470" s="148">
        <f>ROUND(E470*F470*G470,0)</f>
        <v>18521</v>
      </c>
    </row>
    <row r="471" ht="16.5" customHeight="1" spans="2:8">
      <c r="B471" s="145" t="s">
        <v>614</v>
      </c>
      <c r="C471" s="146" t="s">
        <v>615</v>
      </c>
      <c r="D471" s="145" t="s">
        <v>612</v>
      </c>
      <c r="E471" s="177">
        <v>0.025</v>
      </c>
      <c r="F471" s="148">
        <v>2882825</v>
      </c>
      <c r="G471" s="178">
        <v>1</v>
      </c>
      <c r="H471" s="148">
        <f>ROUND(E471*F471*G471,0)</f>
        <v>72071</v>
      </c>
    </row>
    <row r="472" ht="16.5" customHeight="1" spans="2:8">
      <c r="B472" s="145" t="s">
        <v>790</v>
      </c>
      <c r="C472" s="146" t="s">
        <v>791</v>
      </c>
      <c r="D472" s="145" t="s">
        <v>792</v>
      </c>
      <c r="E472" s="177">
        <v>2</v>
      </c>
      <c r="F472" s="148">
        <f>ROUND(SUM(H468:H471)/100,0)</f>
        <v>5865</v>
      </c>
      <c r="G472" s="144"/>
      <c r="H472" s="148">
        <f>ROUND(E472*F472,0)</f>
        <v>11730</v>
      </c>
    </row>
    <row r="473" ht="16.5" customHeight="1" spans="2:8">
      <c r="B473" s="145"/>
      <c r="C473" s="146" t="s">
        <v>818</v>
      </c>
      <c r="D473" s="145"/>
      <c r="E473" s="205"/>
      <c r="F473" s="148"/>
      <c r="G473" s="144"/>
      <c r="H473" s="148">
        <f>ROUND(SUM(H468:H472),0)</f>
        <v>598183</v>
      </c>
    </row>
    <row r="474" ht="27.75" customHeight="1" spans="1:8">
      <c r="A474" s="179"/>
      <c r="B474" s="180"/>
      <c r="C474" s="181" t="s">
        <v>804</v>
      </c>
      <c r="D474" s="180" t="s">
        <v>805</v>
      </c>
      <c r="E474" s="182"/>
      <c r="F474" s="183"/>
      <c r="G474" s="184"/>
      <c r="H474" s="183">
        <f>ROUND(H460+H465+H467,0)</f>
        <v>17058030</v>
      </c>
    </row>
    <row r="475" ht="16.5" customHeight="1" spans="1:8">
      <c r="A475" s="185"/>
      <c r="B475" s="186"/>
      <c r="C475" s="187" t="s">
        <v>806</v>
      </c>
      <c r="D475" s="186" t="s">
        <v>807</v>
      </c>
      <c r="E475" s="188" t="s">
        <v>808</v>
      </c>
      <c r="F475" s="189"/>
      <c r="G475" s="190"/>
      <c r="H475" s="189">
        <v>972308</v>
      </c>
    </row>
    <row r="476" ht="25.5" customHeight="1" spans="1:8">
      <c r="A476" s="185"/>
      <c r="B476" s="186"/>
      <c r="C476" s="187" t="s">
        <v>809</v>
      </c>
      <c r="D476" s="186" t="s">
        <v>810</v>
      </c>
      <c r="E476" s="188" t="s">
        <v>811</v>
      </c>
      <c r="F476" s="189"/>
      <c r="G476" s="190"/>
      <c r="H476" s="189">
        <v>991669</v>
      </c>
    </row>
    <row r="477" ht="28.5" customHeight="1" spans="1:8">
      <c r="A477" s="191"/>
      <c r="B477" s="192"/>
      <c r="C477" s="193" t="s">
        <v>812</v>
      </c>
      <c r="D477" s="192" t="s">
        <v>813</v>
      </c>
      <c r="E477" s="194"/>
      <c r="F477" s="195"/>
      <c r="G477" s="196"/>
      <c r="H477" s="195">
        <f>ROUND(H474+H475+H476,0)</f>
        <v>19022007</v>
      </c>
    </row>
    <row r="478" ht="25.5" customHeight="1" spans="1:8">
      <c r="A478" s="185"/>
      <c r="B478" s="186"/>
      <c r="C478" s="187" t="s">
        <v>814</v>
      </c>
      <c r="D478" s="186" t="s">
        <v>815</v>
      </c>
      <c r="E478" s="197">
        <v>0.1</v>
      </c>
      <c r="F478" s="189"/>
      <c r="G478" s="190"/>
      <c r="H478" s="189">
        <f>ROUND(E478*H477,0)</f>
        <v>1902201</v>
      </c>
    </row>
    <row r="479" ht="30.75" customHeight="1" spans="1:8">
      <c r="A479" s="198"/>
      <c r="B479" s="199"/>
      <c r="C479" s="200" t="s">
        <v>816</v>
      </c>
      <c r="D479" s="199" t="s">
        <v>817</v>
      </c>
      <c r="E479" s="201"/>
      <c r="F479" s="202"/>
      <c r="G479" s="203"/>
      <c r="H479" s="204">
        <f>ROUND(H477+H478,0)</f>
        <v>20924208</v>
      </c>
    </row>
    <row r="480" ht="54.75" customHeight="1" spans="1:8">
      <c r="A480" s="166">
        <v>4</v>
      </c>
      <c r="B480" s="167" t="s">
        <v>238</v>
      </c>
      <c r="C480" s="168" t="s">
        <v>239</v>
      </c>
      <c r="D480" s="167" t="s">
        <v>114</v>
      </c>
      <c r="E480" s="169">
        <v>1</v>
      </c>
      <c r="F480" s="170"/>
      <c r="G480" s="166"/>
      <c r="H480" s="170"/>
    </row>
    <row r="481" ht="16.5" customHeight="1" spans="1:8">
      <c r="A481" s="171"/>
      <c r="B481" s="172"/>
      <c r="C481" s="173" t="s">
        <v>789</v>
      </c>
      <c r="D481" s="172"/>
      <c r="E481" s="174"/>
      <c r="F481" s="175"/>
      <c r="G481" s="176"/>
      <c r="H481" s="175">
        <f>ROUND(H485,0)</f>
        <v>13974360</v>
      </c>
    </row>
    <row r="482" ht="16.5" customHeight="1" spans="2:8">
      <c r="B482" s="145" t="s">
        <v>578</v>
      </c>
      <c r="C482" s="146" t="s">
        <v>579</v>
      </c>
      <c r="D482" s="145" t="s">
        <v>518</v>
      </c>
      <c r="E482" s="177">
        <v>1020</v>
      </c>
      <c r="F482" s="148">
        <v>13300</v>
      </c>
      <c r="G482" s="144"/>
      <c r="H482" s="148">
        <f>ROUND(E482*F482,0)</f>
        <v>13566000</v>
      </c>
    </row>
    <row r="483" ht="16.5" customHeight="1" spans="2:8">
      <c r="B483" s="145" t="s">
        <v>521</v>
      </c>
      <c r="C483" s="146" t="s">
        <v>522</v>
      </c>
      <c r="D483" s="145" t="s">
        <v>518</v>
      </c>
      <c r="E483" s="177">
        <v>14.28</v>
      </c>
      <c r="F483" s="148">
        <v>20000</v>
      </c>
      <c r="G483" s="144"/>
      <c r="H483" s="148">
        <f>ROUND(E483*F483,0)</f>
        <v>285600</v>
      </c>
    </row>
    <row r="484" ht="16.5" customHeight="1" spans="2:8">
      <c r="B484" s="145" t="s">
        <v>569</v>
      </c>
      <c r="C484" s="146" t="s">
        <v>570</v>
      </c>
      <c r="D484" s="145" t="s">
        <v>518</v>
      </c>
      <c r="E484" s="177">
        <v>6.2</v>
      </c>
      <c r="F484" s="148">
        <v>19800</v>
      </c>
      <c r="G484" s="144"/>
      <c r="H484" s="148">
        <f>ROUND(E484*F484,0)</f>
        <v>122760</v>
      </c>
    </row>
    <row r="485" ht="16.5" customHeight="1" spans="2:8">
      <c r="B485" s="145"/>
      <c r="C485" s="146" t="s">
        <v>818</v>
      </c>
      <c r="D485" s="145"/>
      <c r="E485" s="205"/>
      <c r="F485" s="148"/>
      <c r="G485" s="144"/>
      <c r="H485" s="148">
        <f>ROUND(SUM(H482:H484),0)</f>
        <v>13974360</v>
      </c>
    </row>
    <row r="486" ht="16.5" customHeight="1" spans="1:8">
      <c r="A486" s="171"/>
      <c r="B486" s="172"/>
      <c r="C486" s="173" t="s">
        <v>787</v>
      </c>
      <c r="D486" s="172"/>
      <c r="E486" s="174"/>
      <c r="F486" s="175"/>
      <c r="G486" s="176"/>
      <c r="H486" s="175">
        <f>ROUND(H487,0)</f>
        <v>2183299</v>
      </c>
    </row>
    <row r="487" ht="16.5" customHeight="1" spans="2:8">
      <c r="B487" s="145" t="s">
        <v>596</v>
      </c>
      <c r="C487" s="146" t="s">
        <v>597</v>
      </c>
      <c r="D487" s="145" t="s">
        <v>594</v>
      </c>
      <c r="E487" s="177">
        <v>9.74</v>
      </c>
      <c r="F487" s="148">
        <v>224158</v>
      </c>
      <c r="G487" s="178">
        <v>1</v>
      </c>
      <c r="H487" s="148">
        <f>ROUND(E487*F487*G487,0)</f>
        <v>2183299</v>
      </c>
    </row>
    <row r="488" ht="16.5" customHeight="1" spans="1:8">
      <c r="A488" s="171"/>
      <c r="B488" s="172"/>
      <c r="C488" s="173" t="s">
        <v>788</v>
      </c>
      <c r="D488" s="172"/>
      <c r="E488" s="174"/>
      <c r="F488" s="175"/>
      <c r="G488" s="176"/>
      <c r="H488" s="175">
        <f>ROUND(H494,0)</f>
        <v>669409</v>
      </c>
    </row>
    <row r="489" ht="16.5" customHeight="1" spans="2:8">
      <c r="B489" s="145" t="s">
        <v>636</v>
      </c>
      <c r="C489" s="146" t="s">
        <v>637</v>
      </c>
      <c r="D489" s="145" t="s">
        <v>612</v>
      </c>
      <c r="E489" s="177">
        <v>1.49</v>
      </c>
      <c r="F489" s="148">
        <v>361135</v>
      </c>
      <c r="G489" s="178">
        <v>1</v>
      </c>
      <c r="H489" s="148">
        <f>ROUND(E489*F489*G489,0)</f>
        <v>538091</v>
      </c>
    </row>
    <row r="490" ht="16.5" customHeight="1" spans="2:8">
      <c r="B490" s="145" t="s">
        <v>621</v>
      </c>
      <c r="C490" s="146" t="s">
        <v>622</v>
      </c>
      <c r="D490" s="145" t="s">
        <v>612</v>
      </c>
      <c r="E490" s="177">
        <v>0.16</v>
      </c>
      <c r="F490" s="148">
        <v>240449</v>
      </c>
      <c r="G490" s="178">
        <v>1</v>
      </c>
      <c r="H490" s="148">
        <f>ROUND(E490*F490*G490,0)</f>
        <v>38472</v>
      </c>
    </row>
    <row r="491" ht="16.5" customHeight="1" spans="2:8">
      <c r="B491" s="145" t="s">
        <v>656</v>
      </c>
      <c r="C491" s="146" t="s">
        <v>657</v>
      </c>
      <c r="D491" s="145" t="s">
        <v>612</v>
      </c>
      <c r="E491" s="177">
        <v>0.022</v>
      </c>
      <c r="F491" s="148">
        <v>740827</v>
      </c>
      <c r="G491" s="178">
        <v>1</v>
      </c>
      <c r="H491" s="148">
        <f>ROUND(E491*F491*G491,0)</f>
        <v>16298</v>
      </c>
    </row>
    <row r="492" ht="16.5" customHeight="1" spans="2:8">
      <c r="B492" s="145" t="s">
        <v>614</v>
      </c>
      <c r="C492" s="146" t="s">
        <v>615</v>
      </c>
      <c r="D492" s="145" t="s">
        <v>612</v>
      </c>
      <c r="E492" s="177">
        <v>0.022</v>
      </c>
      <c r="F492" s="148">
        <v>2882825</v>
      </c>
      <c r="G492" s="178">
        <v>1</v>
      </c>
      <c r="H492" s="148">
        <f>ROUND(E492*F492*G492,0)</f>
        <v>63422</v>
      </c>
    </row>
    <row r="493" ht="16.5" customHeight="1" spans="2:8">
      <c r="B493" s="145" t="s">
        <v>790</v>
      </c>
      <c r="C493" s="146" t="s">
        <v>791</v>
      </c>
      <c r="D493" s="145" t="s">
        <v>792</v>
      </c>
      <c r="E493" s="177">
        <v>2</v>
      </c>
      <c r="F493" s="148">
        <f>ROUND(SUM(H489:H492)/100,0)</f>
        <v>6563</v>
      </c>
      <c r="G493" s="144"/>
      <c r="H493" s="148">
        <f>ROUND(E493*F493,0)</f>
        <v>13126</v>
      </c>
    </row>
    <row r="494" ht="16.5" customHeight="1" spans="2:8">
      <c r="B494" s="145"/>
      <c r="C494" s="146" t="s">
        <v>818</v>
      </c>
      <c r="D494" s="145"/>
      <c r="E494" s="205"/>
      <c r="F494" s="148"/>
      <c r="G494" s="144"/>
      <c r="H494" s="148">
        <f>ROUND(SUM(H489:H493),0)</f>
        <v>669409</v>
      </c>
    </row>
    <row r="495" ht="27.75" customHeight="1" spans="1:8">
      <c r="A495" s="179"/>
      <c r="B495" s="180"/>
      <c r="C495" s="181" t="s">
        <v>804</v>
      </c>
      <c r="D495" s="180" t="s">
        <v>805</v>
      </c>
      <c r="E495" s="182"/>
      <c r="F495" s="183"/>
      <c r="G495" s="184"/>
      <c r="H495" s="183">
        <f>ROUND(H481+H486+H488,0)</f>
        <v>16827068</v>
      </c>
    </row>
    <row r="496" ht="16.5" customHeight="1" spans="1:8">
      <c r="A496" s="185"/>
      <c r="B496" s="186"/>
      <c r="C496" s="187" t="s">
        <v>806</v>
      </c>
      <c r="D496" s="186" t="s">
        <v>807</v>
      </c>
      <c r="E496" s="188" t="s">
        <v>808</v>
      </c>
      <c r="F496" s="189"/>
      <c r="G496" s="190"/>
      <c r="H496" s="189">
        <v>959143</v>
      </c>
    </row>
    <row r="497" ht="25.5" customHeight="1" spans="1:8">
      <c r="A497" s="185"/>
      <c r="B497" s="186"/>
      <c r="C497" s="187" t="s">
        <v>809</v>
      </c>
      <c r="D497" s="186" t="s">
        <v>810</v>
      </c>
      <c r="E497" s="188" t="s">
        <v>811</v>
      </c>
      <c r="F497" s="189"/>
      <c r="G497" s="190"/>
      <c r="H497" s="189">
        <v>978242</v>
      </c>
    </row>
    <row r="498" ht="28.5" customHeight="1" spans="1:8">
      <c r="A498" s="191"/>
      <c r="B498" s="192"/>
      <c r="C498" s="193" t="s">
        <v>812</v>
      </c>
      <c r="D498" s="192" t="s">
        <v>813</v>
      </c>
      <c r="E498" s="194"/>
      <c r="F498" s="195"/>
      <c r="G498" s="196"/>
      <c r="H498" s="195">
        <f>ROUND(H495+H496+H497,0)</f>
        <v>18764453</v>
      </c>
    </row>
    <row r="499" ht="25.5" customHeight="1" spans="1:8">
      <c r="A499" s="185"/>
      <c r="B499" s="186"/>
      <c r="C499" s="187" t="s">
        <v>814</v>
      </c>
      <c r="D499" s="186" t="s">
        <v>815</v>
      </c>
      <c r="E499" s="197">
        <v>0.1</v>
      </c>
      <c r="F499" s="189"/>
      <c r="G499" s="190"/>
      <c r="H499" s="189">
        <f>ROUND(E499*H498,0)</f>
        <v>1876445</v>
      </c>
    </row>
    <row r="500" ht="30.75" customHeight="1" spans="1:8">
      <c r="A500" s="198"/>
      <c r="B500" s="199"/>
      <c r="C500" s="200" t="s">
        <v>816</v>
      </c>
      <c r="D500" s="199" t="s">
        <v>817</v>
      </c>
      <c r="E500" s="201"/>
      <c r="F500" s="202"/>
      <c r="G500" s="203"/>
      <c r="H500" s="204">
        <f>ROUND(H498+H499,0)</f>
        <v>20640898</v>
      </c>
    </row>
    <row r="501" ht="67.5" customHeight="1" spans="1:8">
      <c r="A501" s="166">
        <v>5</v>
      </c>
      <c r="B501" s="167" t="s">
        <v>245</v>
      </c>
      <c r="C501" s="168" t="s">
        <v>247</v>
      </c>
      <c r="D501" s="167" t="s">
        <v>55</v>
      </c>
      <c r="E501" s="169">
        <v>1</v>
      </c>
      <c r="F501" s="170"/>
      <c r="G501" s="166"/>
      <c r="H501" s="170"/>
    </row>
    <row r="502" ht="16.5" customHeight="1" spans="1:8">
      <c r="A502" s="171"/>
      <c r="B502" s="172"/>
      <c r="C502" s="173" t="s">
        <v>789</v>
      </c>
      <c r="D502" s="172"/>
      <c r="E502" s="174"/>
      <c r="F502" s="175"/>
      <c r="G502" s="176"/>
      <c r="H502" s="175">
        <f>ROUND(H508,0)</f>
        <v>1181211</v>
      </c>
    </row>
    <row r="503" ht="29.25" customHeight="1" spans="2:8">
      <c r="B503" s="145" t="s">
        <v>246</v>
      </c>
      <c r="C503" s="146" t="s">
        <v>585</v>
      </c>
      <c r="D503" s="145" t="s">
        <v>55</v>
      </c>
      <c r="E503" s="177">
        <v>1.025</v>
      </c>
      <c r="F503" s="148">
        <v>1100000</v>
      </c>
      <c r="G503" s="144"/>
      <c r="H503" s="148">
        <f>ROUND(E503*F503,0)</f>
        <v>1127500</v>
      </c>
    </row>
    <row r="504" ht="16.5" customHeight="1" spans="2:8">
      <c r="B504" s="145" t="s">
        <v>560</v>
      </c>
      <c r="C504" s="146" t="s">
        <v>561</v>
      </c>
      <c r="D504" s="145" t="s">
        <v>55</v>
      </c>
      <c r="E504" s="177">
        <v>0.02</v>
      </c>
      <c r="F504" s="148">
        <v>2000000</v>
      </c>
      <c r="G504" s="144"/>
      <c r="H504" s="148">
        <f>ROUND(E504*F504,0)</f>
        <v>40000</v>
      </c>
    </row>
    <row r="505" ht="16.5" customHeight="1" spans="2:8">
      <c r="B505" s="145" t="s">
        <v>536</v>
      </c>
      <c r="C505" s="146" t="s">
        <v>537</v>
      </c>
      <c r="D505" s="145" t="s">
        <v>518</v>
      </c>
      <c r="E505" s="177">
        <v>0.048</v>
      </c>
      <c r="F505" s="148">
        <v>20000</v>
      </c>
      <c r="G505" s="144"/>
      <c r="H505" s="148">
        <f>ROUND(E505*F505,0)</f>
        <v>960</v>
      </c>
    </row>
    <row r="506" ht="16.5" customHeight="1" spans="2:8">
      <c r="B506" s="145" t="s">
        <v>539</v>
      </c>
      <c r="C506" s="146" t="s">
        <v>540</v>
      </c>
      <c r="D506" s="145" t="s">
        <v>450</v>
      </c>
      <c r="E506" s="177">
        <v>0.352</v>
      </c>
      <c r="F506" s="148">
        <v>3000</v>
      </c>
      <c r="G506" s="144"/>
      <c r="H506" s="148">
        <f>ROUND(E506*F506,0)</f>
        <v>1056</v>
      </c>
    </row>
    <row r="507" ht="16.5" customHeight="1" spans="2:8">
      <c r="B507" s="145" t="s">
        <v>793</v>
      </c>
      <c r="C507" s="146" t="s">
        <v>794</v>
      </c>
      <c r="D507" s="145" t="s">
        <v>792</v>
      </c>
      <c r="E507" s="177">
        <v>1</v>
      </c>
      <c r="F507" s="148">
        <f>ROUND(SUM(H503:H506)/100,0)</f>
        <v>11695</v>
      </c>
      <c r="G507" s="144"/>
      <c r="H507" s="148">
        <f>ROUND(E507*F507,0)</f>
        <v>11695</v>
      </c>
    </row>
    <row r="508" ht="16.5" customHeight="1" spans="2:8">
      <c r="B508" s="145"/>
      <c r="C508" s="146" t="s">
        <v>818</v>
      </c>
      <c r="D508" s="145"/>
      <c r="E508" s="205"/>
      <c r="F508" s="148"/>
      <c r="G508" s="144"/>
      <c r="H508" s="148">
        <f>ROUND(SUM(H503:H507),0)</f>
        <v>1181211</v>
      </c>
    </row>
    <row r="509" ht="16.5" customHeight="1" spans="1:8">
      <c r="A509" s="171"/>
      <c r="B509" s="172"/>
      <c r="C509" s="173" t="s">
        <v>787</v>
      </c>
      <c r="D509" s="172"/>
      <c r="E509" s="174"/>
      <c r="F509" s="175"/>
      <c r="G509" s="176"/>
      <c r="H509" s="175">
        <f>ROUND(H510,0)</f>
        <v>854042</v>
      </c>
    </row>
    <row r="510" ht="16.5" customHeight="1" spans="2:8">
      <c r="B510" s="145" t="s">
        <v>596</v>
      </c>
      <c r="C510" s="146" t="s">
        <v>597</v>
      </c>
      <c r="D510" s="145" t="s">
        <v>594</v>
      </c>
      <c r="E510" s="177">
        <v>3.81</v>
      </c>
      <c r="F510" s="148">
        <v>224158</v>
      </c>
      <c r="G510" s="178">
        <v>1</v>
      </c>
      <c r="H510" s="148">
        <f>ROUND(E510*F510*G510,0)</f>
        <v>854042</v>
      </c>
    </row>
    <row r="511" ht="16.5" customHeight="1" spans="1:8">
      <c r="A511" s="171"/>
      <c r="B511" s="172"/>
      <c r="C511" s="173" t="s">
        <v>788</v>
      </c>
      <c r="D511" s="172"/>
      <c r="E511" s="174"/>
      <c r="F511" s="175"/>
      <c r="G511" s="176"/>
      <c r="H511" s="175">
        <f>ROUND(H515,0)</f>
        <v>220787</v>
      </c>
    </row>
    <row r="512" ht="16.5" customHeight="1" spans="2:8">
      <c r="B512" s="145" t="s">
        <v>610</v>
      </c>
      <c r="C512" s="146" t="s">
        <v>611</v>
      </c>
      <c r="D512" s="145" t="s">
        <v>612</v>
      </c>
      <c r="E512" s="177">
        <v>0.09</v>
      </c>
      <c r="F512" s="148">
        <v>1929643</v>
      </c>
      <c r="G512" s="178">
        <v>1</v>
      </c>
      <c r="H512" s="148">
        <f>ROUND(E512*F512*G512,0)</f>
        <v>173668</v>
      </c>
    </row>
    <row r="513" ht="16.5" customHeight="1" spans="2:8">
      <c r="B513" s="145" t="s">
        <v>633</v>
      </c>
      <c r="C513" s="146" t="s">
        <v>634</v>
      </c>
      <c r="D513" s="145" t="s">
        <v>612</v>
      </c>
      <c r="E513" s="177">
        <v>0.18</v>
      </c>
      <c r="F513" s="148">
        <v>237717</v>
      </c>
      <c r="G513" s="178">
        <v>1</v>
      </c>
      <c r="H513" s="148">
        <f>ROUND(E513*F513*G513,0)</f>
        <v>42789</v>
      </c>
    </row>
    <row r="514" ht="16.5" customHeight="1" spans="2:8">
      <c r="B514" s="145" t="s">
        <v>790</v>
      </c>
      <c r="C514" s="146" t="s">
        <v>791</v>
      </c>
      <c r="D514" s="145" t="s">
        <v>792</v>
      </c>
      <c r="E514" s="177">
        <v>2</v>
      </c>
      <c r="F514" s="148">
        <f>ROUND(SUM(H512:H513)/100,0)</f>
        <v>2165</v>
      </c>
      <c r="G514" s="144"/>
      <c r="H514" s="148">
        <f>ROUND(E514*F514,0)</f>
        <v>4330</v>
      </c>
    </row>
    <row r="515" ht="16.5" customHeight="1" spans="2:8">
      <c r="B515" s="145"/>
      <c r="C515" s="146" t="s">
        <v>818</v>
      </c>
      <c r="D515" s="145"/>
      <c r="E515" s="205"/>
      <c r="F515" s="148"/>
      <c r="G515" s="144"/>
      <c r="H515" s="148">
        <f>ROUND(SUM(H512:H514),0)</f>
        <v>220787</v>
      </c>
    </row>
    <row r="516" ht="27.75" customHeight="1" spans="1:8">
      <c r="A516" s="179"/>
      <c r="B516" s="180"/>
      <c r="C516" s="181" t="s">
        <v>804</v>
      </c>
      <c r="D516" s="180" t="s">
        <v>805</v>
      </c>
      <c r="E516" s="182"/>
      <c r="F516" s="183"/>
      <c r="G516" s="184"/>
      <c r="H516" s="183">
        <f>ROUND(H502+H509+H511,0)</f>
        <v>2256040</v>
      </c>
    </row>
    <row r="517" ht="16.5" customHeight="1" spans="1:8">
      <c r="A517" s="185"/>
      <c r="B517" s="186"/>
      <c r="C517" s="187" t="s">
        <v>806</v>
      </c>
      <c r="D517" s="186" t="s">
        <v>807</v>
      </c>
      <c r="E517" s="188" t="s">
        <v>808</v>
      </c>
      <c r="F517" s="189"/>
      <c r="G517" s="190"/>
      <c r="H517" s="189">
        <v>128594</v>
      </c>
    </row>
    <row r="518" ht="25.5" customHeight="1" spans="1:8">
      <c r="A518" s="185"/>
      <c r="B518" s="186"/>
      <c r="C518" s="187" t="s">
        <v>809</v>
      </c>
      <c r="D518" s="186" t="s">
        <v>810</v>
      </c>
      <c r="E518" s="188" t="s">
        <v>811</v>
      </c>
      <c r="F518" s="189"/>
      <c r="G518" s="190"/>
      <c r="H518" s="189">
        <v>131155</v>
      </c>
    </row>
    <row r="519" ht="28.5" customHeight="1" spans="1:8">
      <c r="A519" s="191"/>
      <c r="B519" s="192"/>
      <c r="C519" s="193" t="s">
        <v>812</v>
      </c>
      <c r="D519" s="192" t="s">
        <v>813</v>
      </c>
      <c r="E519" s="194"/>
      <c r="F519" s="195"/>
      <c r="G519" s="196"/>
      <c r="H519" s="195">
        <f>ROUND(H516+H517+H518,0)</f>
        <v>2515789</v>
      </c>
    </row>
    <row r="520" ht="25.5" customHeight="1" spans="1:8">
      <c r="A520" s="185"/>
      <c r="B520" s="186"/>
      <c r="C520" s="187" t="s">
        <v>814</v>
      </c>
      <c r="D520" s="186" t="s">
        <v>815</v>
      </c>
      <c r="E520" s="197">
        <v>0.1</v>
      </c>
      <c r="F520" s="189"/>
      <c r="G520" s="190"/>
      <c r="H520" s="189">
        <f>ROUND(E520*H519,0)</f>
        <v>251579</v>
      </c>
    </row>
    <row r="521" ht="30.75" customHeight="1" spans="1:8">
      <c r="A521" s="198"/>
      <c r="B521" s="199"/>
      <c r="C521" s="200" t="s">
        <v>816</v>
      </c>
      <c r="D521" s="199" t="s">
        <v>817</v>
      </c>
      <c r="E521" s="201"/>
      <c r="F521" s="202"/>
      <c r="G521" s="203"/>
      <c r="H521" s="204">
        <f>ROUND(H519+H520,0)</f>
        <v>2767368</v>
      </c>
    </row>
    <row r="522" ht="67.5" customHeight="1" spans="1:8">
      <c r="A522" s="166">
        <v>6</v>
      </c>
      <c r="B522" s="167" t="s">
        <v>252</v>
      </c>
      <c r="C522" s="168" t="s">
        <v>253</v>
      </c>
      <c r="D522" s="167" t="s">
        <v>107</v>
      </c>
      <c r="E522" s="169">
        <v>1</v>
      </c>
      <c r="F522" s="170"/>
      <c r="G522" s="166"/>
      <c r="H522" s="170"/>
    </row>
    <row r="523" ht="16.5" customHeight="1" spans="1:8">
      <c r="A523" s="171"/>
      <c r="B523" s="172"/>
      <c r="C523" s="173" t="s">
        <v>789</v>
      </c>
      <c r="D523" s="172"/>
      <c r="E523" s="174"/>
      <c r="F523" s="175"/>
      <c r="G523" s="176"/>
      <c r="H523" s="175">
        <f>ROUND(H528,0)</f>
        <v>4920355</v>
      </c>
    </row>
    <row r="524" ht="16.5" customHeight="1" spans="2:8">
      <c r="B524" s="145" t="s">
        <v>581</v>
      </c>
      <c r="C524" s="146" t="s">
        <v>582</v>
      </c>
      <c r="D524" s="145" t="s">
        <v>583</v>
      </c>
      <c r="E524" s="177">
        <v>15</v>
      </c>
      <c r="F524" s="148">
        <v>200000</v>
      </c>
      <c r="G524" s="144"/>
      <c r="H524" s="148">
        <f>ROUND(E524*F524,0)</f>
        <v>3000000</v>
      </c>
    </row>
    <row r="525" ht="16.5" customHeight="1" spans="2:8">
      <c r="B525" s="145" t="s">
        <v>562</v>
      </c>
      <c r="C525" s="146" t="s">
        <v>563</v>
      </c>
      <c r="D525" s="145" t="s">
        <v>518</v>
      </c>
      <c r="E525" s="177">
        <v>15.05</v>
      </c>
      <c r="F525" s="148">
        <v>69000</v>
      </c>
      <c r="G525" s="144"/>
      <c r="H525" s="148">
        <f>ROUND(E525*F525,0)</f>
        <v>1038450</v>
      </c>
    </row>
    <row r="526" ht="16.5" customHeight="1" spans="2:8">
      <c r="B526" s="145" t="s">
        <v>516</v>
      </c>
      <c r="C526" s="146" t="s">
        <v>517</v>
      </c>
      <c r="D526" s="145" t="s">
        <v>518</v>
      </c>
      <c r="E526" s="177">
        <v>40</v>
      </c>
      <c r="F526" s="148">
        <v>16190</v>
      </c>
      <c r="G526" s="144"/>
      <c r="H526" s="148">
        <f>ROUND(E526*F526,0)</f>
        <v>647600</v>
      </c>
    </row>
    <row r="527" ht="16.5" customHeight="1" spans="2:8">
      <c r="B527" s="145" t="s">
        <v>793</v>
      </c>
      <c r="C527" s="146" t="s">
        <v>794</v>
      </c>
      <c r="D527" s="145" t="s">
        <v>792</v>
      </c>
      <c r="E527" s="177">
        <v>5</v>
      </c>
      <c r="F527" s="148">
        <f>ROUND(SUM(H524:H526)/100,0)</f>
        <v>46861</v>
      </c>
      <c r="G527" s="144"/>
      <c r="H527" s="148">
        <f>ROUND(E527*F527,0)</f>
        <v>234305</v>
      </c>
    </row>
    <row r="528" ht="16.5" customHeight="1" spans="2:8">
      <c r="B528" s="145"/>
      <c r="C528" s="146" t="s">
        <v>818</v>
      </c>
      <c r="D528" s="145"/>
      <c r="E528" s="205"/>
      <c r="F528" s="148"/>
      <c r="G528" s="144"/>
      <c r="H528" s="148">
        <f>ROUND(SUM(H524:H527),0)</f>
        <v>4920355</v>
      </c>
    </row>
    <row r="529" ht="16.5" customHeight="1" spans="1:8">
      <c r="A529" s="171"/>
      <c r="B529" s="172"/>
      <c r="C529" s="173" t="s">
        <v>787</v>
      </c>
      <c r="D529" s="172"/>
      <c r="E529" s="174"/>
      <c r="F529" s="175"/>
      <c r="G529" s="176"/>
      <c r="H529" s="175">
        <f>ROUND(H530,0)</f>
        <v>5737854</v>
      </c>
    </row>
    <row r="530" ht="16.5" customHeight="1" spans="2:8">
      <c r="B530" s="145" t="s">
        <v>602</v>
      </c>
      <c r="C530" s="146" t="s">
        <v>603</v>
      </c>
      <c r="D530" s="145" t="s">
        <v>594</v>
      </c>
      <c r="E530" s="177">
        <v>23.64</v>
      </c>
      <c r="F530" s="148">
        <v>242718</v>
      </c>
      <c r="G530" s="178">
        <v>1</v>
      </c>
      <c r="H530" s="148">
        <f>ROUND(E530*F530*G530,0)</f>
        <v>5737854</v>
      </c>
    </row>
    <row r="531" ht="16.5" customHeight="1" spans="1:8">
      <c r="A531" s="171"/>
      <c r="B531" s="172"/>
      <c r="C531" s="173" t="s">
        <v>788</v>
      </c>
      <c r="D531" s="172"/>
      <c r="E531" s="174"/>
      <c r="F531" s="175"/>
      <c r="G531" s="176"/>
      <c r="H531" s="175">
        <f>ROUND(H535,0)</f>
        <v>924031</v>
      </c>
    </row>
    <row r="532" ht="16.5" customHeight="1" spans="2:8">
      <c r="B532" s="145" t="s">
        <v>659</v>
      </c>
      <c r="C532" s="146" t="s">
        <v>657</v>
      </c>
      <c r="D532" s="145" t="s">
        <v>612</v>
      </c>
      <c r="E532" s="177">
        <v>0.25</v>
      </c>
      <c r="F532" s="148">
        <v>740827</v>
      </c>
      <c r="G532" s="178">
        <v>1</v>
      </c>
      <c r="H532" s="148">
        <f>ROUND(E532*F532*G532,0)</f>
        <v>185207</v>
      </c>
    </row>
    <row r="533" ht="16.5" customHeight="1" spans="2:8">
      <c r="B533" s="145" t="s">
        <v>614</v>
      </c>
      <c r="C533" s="146" t="s">
        <v>615</v>
      </c>
      <c r="D533" s="145" t="s">
        <v>612</v>
      </c>
      <c r="E533" s="177">
        <v>0.25</v>
      </c>
      <c r="F533" s="148">
        <v>2882825</v>
      </c>
      <c r="G533" s="178">
        <v>1</v>
      </c>
      <c r="H533" s="148">
        <f>ROUND(E533*F533*G533,0)</f>
        <v>720706</v>
      </c>
    </row>
    <row r="534" ht="16.5" customHeight="1" spans="2:8">
      <c r="B534" s="145" t="s">
        <v>790</v>
      </c>
      <c r="C534" s="146" t="s">
        <v>791</v>
      </c>
      <c r="D534" s="145" t="s">
        <v>792</v>
      </c>
      <c r="E534" s="177">
        <v>2</v>
      </c>
      <c r="F534" s="148">
        <f>ROUND(SUM(H532:H533)/100,0)</f>
        <v>9059</v>
      </c>
      <c r="G534" s="144"/>
      <c r="H534" s="148">
        <f>ROUND(E534*F534,0)</f>
        <v>18118</v>
      </c>
    </row>
    <row r="535" ht="16.5" customHeight="1" spans="2:8">
      <c r="B535" s="145"/>
      <c r="C535" s="146" t="s">
        <v>818</v>
      </c>
      <c r="D535" s="145"/>
      <c r="E535" s="205"/>
      <c r="F535" s="148"/>
      <c r="G535" s="144"/>
      <c r="H535" s="148">
        <f>ROUND(SUM(H532:H534),0)</f>
        <v>924031</v>
      </c>
    </row>
    <row r="536" ht="27.75" customHeight="1" spans="1:8">
      <c r="A536" s="179"/>
      <c r="B536" s="180"/>
      <c r="C536" s="181" t="s">
        <v>804</v>
      </c>
      <c r="D536" s="180" t="s">
        <v>805</v>
      </c>
      <c r="E536" s="182"/>
      <c r="F536" s="183"/>
      <c r="G536" s="184"/>
      <c r="H536" s="183">
        <f>ROUND(H523+H529+H531,0)</f>
        <v>11582240</v>
      </c>
    </row>
    <row r="537" ht="16.5" customHeight="1" spans="1:8">
      <c r="A537" s="185"/>
      <c r="B537" s="186"/>
      <c r="C537" s="187" t="s">
        <v>806</v>
      </c>
      <c r="D537" s="186" t="s">
        <v>807</v>
      </c>
      <c r="E537" s="188" t="s">
        <v>808</v>
      </c>
      <c r="F537" s="189"/>
      <c r="G537" s="190"/>
      <c r="H537" s="189">
        <v>660188</v>
      </c>
    </row>
    <row r="538" ht="25.5" customHeight="1" spans="1:8">
      <c r="A538" s="185"/>
      <c r="B538" s="186"/>
      <c r="C538" s="187" t="s">
        <v>809</v>
      </c>
      <c r="D538" s="186" t="s">
        <v>810</v>
      </c>
      <c r="E538" s="188" t="s">
        <v>811</v>
      </c>
      <c r="F538" s="189"/>
      <c r="G538" s="190"/>
      <c r="H538" s="189">
        <v>673334</v>
      </c>
    </row>
    <row r="539" ht="28.5" customHeight="1" spans="1:8">
      <c r="A539" s="191"/>
      <c r="B539" s="192"/>
      <c r="C539" s="193" t="s">
        <v>812</v>
      </c>
      <c r="D539" s="192" t="s">
        <v>813</v>
      </c>
      <c r="E539" s="194"/>
      <c r="F539" s="195"/>
      <c r="G539" s="196"/>
      <c r="H539" s="195">
        <f>ROUND(H536+H537+H538,0)</f>
        <v>12915762</v>
      </c>
    </row>
    <row r="540" ht="25.5" customHeight="1" spans="1:8">
      <c r="A540" s="185"/>
      <c r="B540" s="186"/>
      <c r="C540" s="187" t="s">
        <v>814</v>
      </c>
      <c r="D540" s="186" t="s">
        <v>815</v>
      </c>
      <c r="E540" s="197">
        <v>0.1</v>
      </c>
      <c r="F540" s="189"/>
      <c r="G540" s="190"/>
      <c r="H540" s="189">
        <f>ROUND(E540*H539,0)</f>
        <v>1291576</v>
      </c>
    </row>
    <row r="541" ht="30.75" customHeight="1" spans="1:8">
      <c r="A541" s="198"/>
      <c r="B541" s="199"/>
      <c r="C541" s="200" t="s">
        <v>816</v>
      </c>
      <c r="D541" s="199" t="s">
        <v>817</v>
      </c>
      <c r="E541" s="201"/>
      <c r="F541" s="202"/>
      <c r="G541" s="203"/>
      <c r="H541" s="204">
        <f>ROUND(H539+H540,0)</f>
        <v>14207338</v>
      </c>
    </row>
    <row r="542" ht="67.5" customHeight="1" spans="1:8">
      <c r="A542" s="166">
        <v>7</v>
      </c>
      <c r="B542" s="167" t="s">
        <v>252</v>
      </c>
      <c r="C542" s="168" t="s">
        <v>253</v>
      </c>
      <c r="D542" s="167" t="s">
        <v>107</v>
      </c>
      <c r="E542" s="169">
        <v>1</v>
      </c>
      <c r="F542" s="170"/>
      <c r="G542" s="166"/>
      <c r="H542" s="170"/>
    </row>
    <row r="543" ht="16.5" customHeight="1" spans="1:8">
      <c r="A543" s="171"/>
      <c r="B543" s="172"/>
      <c r="C543" s="173" t="s">
        <v>789</v>
      </c>
      <c r="D543" s="172"/>
      <c r="E543" s="174"/>
      <c r="F543" s="175"/>
      <c r="G543" s="176"/>
      <c r="H543" s="175">
        <f>ROUND(H548,0)</f>
        <v>4920355</v>
      </c>
    </row>
    <row r="544" ht="16.5" customHeight="1" spans="2:8">
      <c r="B544" s="145" t="s">
        <v>581</v>
      </c>
      <c r="C544" s="146" t="s">
        <v>582</v>
      </c>
      <c r="D544" s="145" t="s">
        <v>583</v>
      </c>
      <c r="E544" s="177">
        <v>15</v>
      </c>
      <c r="F544" s="148">
        <v>200000</v>
      </c>
      <c r="G544" s="144"/>
      <c r="H544" s="148">
        <f>ROUND(E544*F544,0)</f>
        <v>3000000</v>
      </c>
    </row>
    <row r="545" ht="16.5" customHeight="1" spans="2:8">
      <c r="B545" s="145" t="s">
        <v>562</v>
      </c>
      <c r="C545" s="146" t="s">
        <v>563</v>
      </c>
      <c r="D545" s="145" t="s">
        <v>518</v>
      </c>
      <c r="E545" s="177">
        <v>15.05</v>
      </c>
      <c r="F545" s="148">
        <v>69000</v>
      </c>
      <c r="G545" s="144"/>
      <c r="H545" s="148">
        <f>ROUND(E545*F545,0)</f>
        <v>1038450</v>
      </c>
    </row>
    <row r="546" ht="16.5" customHeight="1" spans="2:8">
      <c r="B546" s="145" t="s">
        <v>516</v>
      </c>
      <c r="C546" s="146" t="s">
        <v>517</v>
      </c>
      <c r="D546" s="145" t="s">
        <v>518</v>
      </c>
      <c r="E546" s="177">
        <v>40</v>
      </c>
      <c r="F546" s="148">
        <v>16190</v>
      </c>
      <c r="G546" s="144"/>
      <c r="H546" s="148">
        <f>ROUND(E546*F546,0)</f>
        <v>647600</v>
      </c>
    </row>
    <row r="547" ht="16.5" customHeight="1" spans="2:8">
      <c r="B547" s="145" t="s">
        <v>793</v>
      </c>
      <c r="C547" s="146" t="s">
        <v>794</v>
      </c>
      <c r="D547" s="145" t="s">
        <v>792</v>
      </c>
      <c r="E547" s="177">
        <v>5</v>
      </c>
      <c r="F547" s="148">
        <f>ROUND(SUM(H544:H546)/100,0)</f>
        <v>46861</v>
      </c>
      <c r="G547" s="144"/>
      <c r="H547" s="148">
        <f>ROUND(E547*F547,0)</f>
        <v>234305</v>
      </c>
    </row>
    <row r="548" ht="16.5" customHeight="1" spans="2:8">
      <c r="B548" s="145"/>
      <c r="C548" s="146" t="s">
        <v>818</v>
      </c>
      <c r="D548" s="145"/>
      <c r="E548" s="205"/>
      <c r="F548" s="148"/>
      <c r="G548" s="144"/>
      <c r="H548" s="148">
        <f>ROUND(SUM(H544:H547),0)</f>
        <v>4920355</v>
      </c>
    </row>
    <row r="549" ht="16.5" customHeight="1" spans="1:8">
      <c r="A549" s="171"/>
      <c r="B549" s="172"/>
      <c r="C549" s="173" t="s">
        <v>787</v>
      </c>
      <c r="D549" s="172"/>
      <c r="E549" s="174"/>
      <c r="F549" s="175"/>
      <c r="G549" s="176"/>
      <c r="H549" s="175">
        <f>ROUND(H550,0)</f>
        <v>5737854</v>
      </c>
    </row>
    <row r="550" ht="16.5" customHeight="1" spans="2:8">
      <c r="B550" s="145" t="s">
        <v>602</v>
      </c>
      <c r="C550" s="146" t="s">
        <v>603</v>
      </c>
      <c r="D550" s="145" t="s">
        <v>594</v>
      </c>
      <c r="E550" s="177">
        <v>23.64</v>
      </c>
      <c r="F550" s="148">
        <v>242718</v>
      </c>
      <c r="G550" s="178">
        <v>1</v>
      </c>
      <c r="H550" s="148">
        <f>ROUND(E550*F550*G550,0)</f>
        <v>5737854</v>
      </c>
    </row>
    <row r="551" ht="16.5" customHeight="1" spans="1:8">
      <c r="A551" s="171"/>
      <c r="B551" s="172"/>
      <c r="C551" s="173" t="s">
        <v>788</v>
      </c>
      <c r="D551" s="172"/>
      <c r="E551" s="174"/>
      <c r="F551" s="175"/>
      <c r="G551" s="176"/>
      <c r="H551" s="175">
        <f>ROUND(H555,0)</f>
        <v>924031</v>
      </c>
    </row>
    <row r="552" ht="16.5" customHeight="1" spans="2:8">
      <c r="B552" s="145" t="s">
        <v>659</v>
      </c>
      <c r="C552" s="146" t="s">
        <v>657</v>
      </c>
      <c r="D552" s="145" t="s">
        <v>612</v>
      </c>
      <c r="E552" s="177">
        <v>0.25</v>
      </c>
      <c r="F552" s="148">
        <v>740827</v>
      </c>
      <c r="G552" s="178">
        <v>1</v>
      </c>
      <c r="H552" s="148">
        <f>ROUND(E552*F552*G552,0)</f>
        <v>185207</v>
      </c>
    </row>
    <row r="553" ht="16.5" customHeight="1" spans="2:8">
      <c r="B553" s="145" t="s">
        <v>614</v>
      </c>
      <c r="C553" s="146" t="s">
        <v>615</v>
      </c>
      <c r="D553" s="145" t="s">
        <v>612</v>
      </c>
      <c r="E553" s="177">
        <v>0.25</v>
      </c>
      <c r="F553" s="148">
        <v>2882825</v>
      </c>
      <c r="G553" s="178">
        <v>1</v>
      </c>
      <c r="H553" s="148">
        <f>ROUND(E553*F553*G553,0)</f>
        <v>720706</v>
      </c>
    </row>
    <row r="554" ht="16.5" customHeight="1" spans="2:8">
      <c r="B554" s="145" t="s">
        <v>790</v>
      </c>
      <c r="C554" s="146" t="s">
        <v>791</v>
      </c>
      <c r="D554" s="145" t="s">
        <v>792</v>
      </c>
      <c r="E554" s="177">
        <v>2</v>
      </c>
      <c r="F554" s="148">
        <f>ROUND(SUM(H552:H553)/100,0)</f>
        <v>9059</v>
      </c>
      <c r="G554" s="144"/>
      <c r="H554" s="148">
        <f>ROUND(E554*F554,0)</f>
        <v>18118</v>
      </c>
    </row>
    <row r="555" ht="16.5" customHeight="1" spans="2:8">
      <c r="B555" s="145"/>
      <c r="C555" s="146" t="s">
        <v>818</v>
      </c>
      <c r="D555" s="145"/>
      <c r="E555" s="205"/>
      <c r="F555" s="148"/>
      <c r="G555" s="144"/>
      <c r="H555" s="148">
        <f>ROUND(SUM(H552:H554),0)</f>
        <v>924031</v>
      </c>
    </row>
    <row r="556" ht="27.75" customHeight="1" spans="1:8">
      <c r="A556" s="179"/>
      <c r="B556" s="180"/>
      <c r="C556" s="181" t="s">
        <v>804</v>
      </c>
      <c r="D556" s="180" t="s">
        <v>805</v>
      </c>
      <c r="E556" s="182"/>
      <c r="F556" s="183"/>
      <c r="G556" s="184"/>
      <c r="H556" s="183">
        <f>ROUND(H543+H549+H551,0)</f>
        <v>11582240</v>
      </c>
    </row>
    <row r="557" ht="16.5" customHeight="1" spans="1:8">
      <c r="A557" s="185"/>
      <c r="B557" s="186"/>
      <c r="C557" s="187" t="s">
        <v>806</v>
      </c>
      <c r="D557" s="186" t="s">
        <v>807</v>
      </c>
      <c r="E557" s="188" t="s">
        <v>808</v>
      </c>
      <c r="F557" s="189"/>
      <c r="G557" s="190"/>
      <c r="H557" s="189">
        <v>660188</v>
      </c>
    </row>
    <row r="558" ht="25.5" customHeight="1" spans="1:8">
      <c r="A558" s="185"/>
      <c r="B558" s="186"/>
      <c r="C558" s="187" t="s">
        <v>809</v>
      </c>
      <c r="D558" s="186" t="s">
        <v>810</v>
      </c>
      <c r="E558" s="188" t="s">
        <v>811</v>
      </c>
      <c r="F558" s="189"/>
      <c r="G558" s="190"/>
      <c r="H558" s="189">
        <v>673334</v>
      </c>
    </row>
    <row r="559" ht="28.5" customHeight="1" spans="1:8">
      <c r="A559" s="191"/>
      <c r="B559" s="192"/>
      <c r="C559" s="193" t="s">
        <v>812</v>
      </c>
      <c r="D559" s="192" t="s">
        <v>813</v>
      </c>
      <c r="E559" s="194"/>
      <c r="F559" s="195"/>
      <c r="G559" s="196"/>
      <c r="H559" s="195">
        <f>ROUND(H556+H557+H558,0)</f>
        <v>12915762</v>
      </c>
    </row>
    <row r="560" ht="25.5" customHeight="1" spans="1:8">
      <c r="A560" s="185"/>
      <c r="B560" s="186"/>
      <c r="C560" s="187" t="s">
        <v>814</v>
      </c>
      <c r="D560" s="186" t="s">
        <v>815</v>
      </c>
      <c r="E560" s="197">
        <v>0.1</v>
      </c>
      <c r="F560" s="189"/>
      <c r="G560" s="190"/>
      <c r="H560" s="189">
        <f>ROUND(E560*H559,0)</f>
        <v>1291576</v>
      </c>
    </row>
    <row r="561" ht="30.75" customHeight="1" spans="1:8">
      <c r="A561" s="198"/>
      <c r="B561" s="199"/>
      <c r="C561" s="200" t="s">
        <v>816</v>
      </c>
      <c r="D561" s="199" t="s">
        <v>817</v>
      </c>
      <c r="E561" s="201"/>
      <c r="F561" s="202"/>
      <c r="G561" s="203"/>
      <c r="H561" s="204">
        <f>ROUND(H559+H560,0)</f>
        <v>14207338</v>
      </c>
    </row>
    <row r="562" ht="67.5" customHeight="1" spans="1:8">
      <c r="A562" s="166">
        <v>8</v>
      </c>
      <c r="B562" s="167" t="s">
        <v>288</v>
      </c>
      <c r="C562" s="168" t="s">
        <v>289</v>
      </c>
      <c r="D562" s="167" t="s">
        <v>107</v>
      </c>
      <c r="E562" s="169">
        <v>1</v>
      </c>
      <c r="F562" s="170"/>
      <c r="G562" s="166"/>
      <c r="H562" s="170"/>
    </row>
    <row r="563" ht="16.5" customHeight="1" spans="1:8">
      <c r="A563" s="171"/>
      <c r="B563" s="172"/>
      <c r="C563" s="173" t="s">
        <v>789</v>
      </c>
      <c r="D563" s="172"/>
      <c r="E563" s="174"/>
      <c r="F563" s="175"/>
      <c r="G563" s="176"/>
      <c r="H563" s="175">
        <f>ROUND(H568,0)</f>
        <v>4639880</v>
      </c>
    </row>
    <row r="564" ht="16.5" customHeight="1" spans="2:8">
      <c r="B564" s="145" t="s">
        <v>581</v>
      </c>
      <c r="C564" s="146" t="s">
        <v>582</v>
      </c>
      <c r="D564" s="145" t="s">
        <v>583</v>
      </c>
      <c r="E564" s="177">
        <v>15</v>
      </c>
      <c r="F564" s="148">
        <v>200000</v>
      </c>
      <c r="G564" s="144"/>
      <c r="H564" s="148">
        <f>ROUND(E564*F564,0)</f>
        <v>3000000</v>
      </c>
    </row>
    <row r="565" ht="16.5" customHeight="1" spans="2:8">
      <c r="B565" s="145" t="s">
        <v>562</v>
      </c>
      <c r="C565" s="146" t="s">
        <v>563</v>
      </c>
      <c r="D565" s="145" t="s">
        <v>518</v>
      </c>
      <c r="E565" s="177">
        <v>12</v>
      </c>
      <c r="F565" s="148">
        <v>69000</v>
      </c>
      <c r="G565" s="144"/>
      <c r="H565" s="148">
        <f>ROUND(E565*F565,0)</f>
        <v>828000</v>
      </c>
    </row>
    <row r="566" ht="16.5" customHeight="1" spans="2:8">
      <c r="B566" s="145" t="s">
        <v>516</v>
      </c>
      <c r="C566" s="146" t="s">
        <v>517</v>
      </c>
      <c r="D566" s="145" t="s">
        <v>518</v>
      </c>
      <c r="E566" s="177">
        <v>36.5</v>
      </c>
      <c r="F566" s="148">
        <v>16190</v>
      </c>
      <c r="G566" s="144"/>
      <c r="H566" s="148">
        <f>ROUND(E566*F566,0)</f>
        <v>590935</v>
      </c>
    </row>
    <row r="567" ht="16.5" customHeight="1" spans="2:8">
      <c r="B567" s="145" t="s">
        <v>793</v>
      </c>
      <c r="C567" s="146" t="s">
        <v>794</v>
      </c>
      <c r="D567" s="145" t="s">
        <v>792</v>
      </c>
      <c r="E567" s="177">
        <v>5</v>
      </c>
      <c r="F567" s="148">
        <f>ROUND(SUM(H564:H566)/100,0)</f>
        <v>44189</v>
      </c>
      <c r="G567" s="144"/>
      <c r="H567" s="148">
        <f>ROUND(E567*F567,0)</f>
        <v>220945</v>
      </c>
    </row>
    <row r="568" ht="16.5" customHeight="1" spans="2:8">
      <c r="B568" s="145"/>
      <c r="C568" s="146" t="s">
        <v>818</v>
      </c>
      <c r="D568" s="145"/>
      <c r="E568" s="205"/>
      <c r="F568" s="148"/>
      <c r="G568" s="144"/>
      <c r="H568" s="148">
        <f>ROUND(SUM(H564:H567),0)</f>
        <v>4639880</v>
      </c>
    </row>
    <row r="569" ht="16.5" customHeight="1" spans="1:8">
      <c r="A569" s="171"/>
      <c r="B569" s="172"/>
      <c r="C569" s="173" t="s">
        <v>787</v>
      </c>
      <c r="D569" s="172"/>
      <c r="E569" s="174"/>
      <c r="F569" s="175"/>
      <c r="G569" s="176"/>
      <c r="H569" s="175">
        <f>ROUND(H570,0)</f>
        <v>5689137</v>
      </c>
    </row>
    <row r="570" ht="16.5" customHeight="1" spans="2:8">
      <c r="B570" s="145" t="s">
        <v>605</v>
      </c>
      <c r="C570" s="146" t="s">
        <v>606</v>
      </c>
      <c r="D570" s="145" t="s">
        <v>594</v>
      </c>
      <c r="E570" s="177">
        <v>21.5</v>
      </c>
      <c r="F570" s="148">
        <v>264611</v>
      </c>
      <c r="G570" s="178">
        <v>1</v>
      </c>
      <c r="H570" s="148">
        <f>ROUND(E570*F570*G570,0)</f>
        <v>5689137</v>
      </c>
    </row>
    <row r="571" ht="16.5" customHeight="1" spans="1:8">
      <c r="A571" s="171"/>
      <c r="B571" s="172"/>
      <c r="C571" s="173" t="s">
        <v>788</v>
      </c>
      <c r="D571" s="172"/>
      <c r="E571" s="174"/>
      <c r="F571" s="175"/>
      <c r="G571" s="176"/>
      <c r="H571" s="175">
        <f>ROUND(H575,0)</f>
        <v>924031</v>
      </c>
    </row>
    <row r="572" ht="16.5" customHeight="1" spans="2:8">
      <c r="B572" s="145" t="s">
        <v>659</v>
      </c>
      <c r="C572" s="146" t="s">
        <v>657</v>
      </c>
      <c r="D572" s="145" t="s">
        <v>612</v>
      </c>
      <c r="E572" s="177">
        <v>0.25</v>
      </c>
      <c r="F572" s="148">
        <v>740827</v>
      </c>
      <c r="G572" s="178">
        <v>1</v>
      </c>
      <c r="H572" s="148">
        <f>ROUND(E572*F572*G572,0)</f>
        <v>185207</v>
      </c>
    </row>
    <row r="573" ht="16.5" customHeight="1" spans="2:8">
      <c r="B573" s="145" t="s">
        <v>614</v>
      </c>
      <c r="C573" s="146" t="s">
        <v>615</v>
      </c>
      <c r="D573" s="145" t="s">
        <v>612</v>
      </c>
      <c r="E573" s="177">
        <v>0.25</v>
      </c>
      <c r="F573" s="148">
        <v>2882825</v>
      </c>
      <c r="G573" s="178">
        <v>1</v>
      </c>
      <c r="H573" s="148">
        <f>ROUND(E573*F573*G573,0)</f>
        <v>720706</v>
      </c>
    </row>
    <row r="574" ht="16.5" customHeight="1" spans="2:8">
      <c r="B574" s="145" t="s">
        <v>790</v>
      </c>
      <c r="C574" s="146" t="s">
        <v>791</v>
      </c>
      <c r="D574" s="145" t="s">
        <v>792</v>
      </c>
      <c r="E574" s="177">
        <v>2</v>
      </c>
      <c r="F574" s="148">
        <f>ROUND(SUM(H572:H573)/100,0)</f>
        <v>9059</v>
      </c>
      <c r="G574" s="144"/>
      <c r="H574" s="148">
        <f>ROUND(E574*F574,0)</f>
        <v>18118</v>
      </c>
    </row>
    <row r="575" ht="16.5" customHeight="1" spans="2:8">
      <c r="B575" s="145"/>
      <c r="C575" s="146" t="s">
        <v>818</v>
      </c>
      <c r="D575" s="145"/>
      <c r="E575" s="205"/>
      <c r="F575" s="148"/>
      <c r="G575" s="144"/>
      <c r="H575" s="148">
        <f>ROUND(SUM(H572:H574),0)</f>
        <v>924031</v>
      </c>
    </row>
    <row r="576" ht="27.75" customHeight="1" spans="1:8">
      <c r="A576" s="179"/>
      <c r="B576" s="180"/>
      <c r="C576" s="181" t="s">
        <v>804</v>
      </c>
      <c r="D576" s="180" t="s">
        <v>805</v>
      </c>
      <c r="E576" s="182"/>
      <c r="F576" s="183"/>
      <c r="G576" s="184"/>
      <c r="H576" s="183">
        <f>ROUND(H563+H569+H571,0)</f>
        <v>11253048</v>
      </c>
    </row>
    <row r="577" ht="16.5" customHeight="1" spans="1:8">
      <c r="A577" s="185"/>
      <c r="B577" s="186"/>
      <c r="C577" s="187" t="s">
        <v>806</v>
      </c>
      <c r="D577" s="186" t="s">
        <v>807</v>
      </c>
      <c r="E577" s="188" t="s">
        <v>808</v>
      </c>
      <c r="F577" s="189"/>
      <c r="G577" s="190"/>
      <c r="H577" s="189">
        <v>641424</v>
      </c>
    </row>
    <row r="578" ht="25.5" customHeight="1" spans="1:8">
      <c r="A578" s="185"/>
      <c r="B578" s="186"/>
      <c r="C578" s="187" t="s">
        <v>809</v>
      </c>
      <c r="D578" s="186" t="s">
        <v>810</v>
      </c>
      <c r="E578" s="188" t="s">
        <v>811</v>
      </c>
      <c r="F578" s="189"/>
      <c r="G578" s="190"/>
      <c r="H578" s="189">
        <v>654196</v>
      </c>
    </row>
    <row r="579" ht="28.5" customHeight="1" spans="1:8">
      <c r="A579" s="191"/>
      <c r="B579" s="192"/>
      <c r="C579" s="193" t="s">
        <v>812</v>
      </c>
      <c r="D579" s="192" t="s">
        <v>813</v>
      </c>
      <c r="E579" s="194"/>
      <c r="F579" s="195"/>
      <c r="G579" s="196"/>
      <c r="H579" s="195">
        <f>ROUND(H576+H577+H578,0)</f>
        <v>12548668</v>
      </c>
    </row>
    <row r="580" ht="25.5" customHeight="1" spans="1:8">
      <c r="A580" s="185"/>
      <c r="B580" s="186"/>
      <c r="C580" s="187" t="s">
        <v>814</v>
      </c>
      <c r="D580" s="186" t="s">
        <v>815</v>
      </c>
      <c r="E580" s="197">
        <v>0.1</v>
      </c>
      <c r="F580" s="189"/>
      <c r="G580" s="190"/>
      <c r="H580" s="189">
        <f>ROUND(E580*H579,0)</f>
        <v>1254867</v>
      </c>
    </row>
    <row r="581" ht="30.75" customHeight="1" spans="1:8">
      <c r="A581" s="198"/>
      <c r="B581" s="199"/>
      <c r="C581" s="200" t="s">
        <v>816</v>
      </c>
      <c r="D581" s="199" t="s">
        <v>817</v>
      </c>
      <c r="E581" s="201"/>
      <c r="F581" s="202"/>
      <c r="G581" s="203"/>
      <c r="H581" s="204">
        <f>ROUND(H579+H580,0)</f>
        <v>13803535</v>
      </c>
    </row>
    <row r="582" ht="67.5" customHeight="1" spans="1:8">
      <c r="A582" s="166">
        <v>9</v>
      </c>
      <c r="B582" s="167" t="s">
        <v>304</v>
      </c>
      <c r="C582" s="168" t="s">
        <v>305</v>
      </c>
      <c r="D582" s="167" t="s">
        <v>107</v>
      </c>
      <c r="E582" s="169">
        <v>1</v>
      </c>
      <c r="F582" s="170"/>
      <c r="G582" s="166"/>
      <c r="H582" s="170"/>
    </row>
    <row r="583" ht="16.5" customHeight="1" spans="1:8">
      <c r="A583" s="171"/>
      <c r="B583" s="172"/>
      <c r="C583" s="173" t="s">
        <v>789</v>
      </c>
      <c r="D583" s="172"/>
      <c r="E583" s="174"/>
      <c r="F583" s="175"/>
      <c r="G583" s="176"/>
      <c r="H583" s="175">
        <f>ROUND(H588,0)</f>
        <v>3775975</v>
      </c>
    </row>
    <row r="584" ht="16.5" customHeight="1" spans="2:8">
      <c r="B584" s="145" t="s">
        <v>581</v>
      </c>
      <c r="C584" s="146" t="s">
        <v>582</v>
      </c>
      <c r="D584" s="145" t="s">
        <v>583</v>
      </c>
      <c r="E584" s="177">
        <v>10.5</v>
      </c>
      <c r="F584" s="148">
        <v>200000</v>
      </c>
      <c r="G584" s="144"/>
      <c r="H584" s="148">
        <f>ROUND(E584*F584,0)</f>
        <v>2100000</v>
      </c>
    </row>
    <row r="585" ht="16.5" customHeight="1" spans="2:8">
      <c r="B585" s="145" t="s">
        <v>562</v>
      </c>
      <c r="C585" s="146" t="s">
        <v>563</v>
      </c>
      <c r="D585" s="145" t="s">
        <v>518</v>
      </c>
      <c r="E585" s="177">
        <v>12.65</v>
      </c>
      <c r="F585" s="148">
        <v>69000</v>
      </c>
      <c r="G585" s="144"/>
      <c r="H585" s="148">
        <f>ROUND(E585*F585,0)</f>
        <v>872850</v>
      </c>
    </row>
    <row r="586" ht="16.5" customHeight="1" spans="2:8">
      <c r="B586" s="145" t="s">
        <v>516</v>
      </c>
      <c r="C586" s="146" t="s">
        <v>517</v>
      </c>
      <c r="D586" s="145" t="s">
        <v>518</v>
      </c>
      <c r="E586" s="177">
        <v>38.5</v>
      </c>
      <c r="F586" s="148">
        <v>16190</v>
      </c>
      <c r="G586" s="144"/>
      <c r="H586" s="148">
        <f>ROUND(E586*F586,0)</f>
        <v>623315</v>
      </c>
    </row>
    <row r="587" ht="16.5" customHeight="1" spans="2:8">
      <c r="B587" s="145" t="s">
        <v>793</v>
      </c>
      <c r="C587" s="146" t="s">
        <v>794</v>
      </c>
      <c r="D587" s="145" t="s">
        <v>792</v>
      </c>
      <c r="E587" s="177">
        <v>5</v>
      </c>
      <c r="F587" s="148">
        <f>ROUND(SUM(H584:H586)/100,0)</f>
        <v>35962</v>
      </c>
      <c r="G587" s="144"/>
      <c r="H587" s="148">
        <f>ROUND(E587*F587,0)</f>
        <v>179810</v>
      </c>
    </row>
    <row r="588" ht="16.5" customHeight="1" spans="2:8">
      <c r="B588" s="145"/>
      <c r="C588" s="146" t="s">
        <v>818</v>
      </c>
      <c r="D588" s="145"/>
      <c r="E588" s="205"/>
      <c r="F588" s="148"/>
      <c r="G588" s="144"/>
      <c r="H588" s="148">
        <f>ROUND(SUM(H584:H587),0)</f>
        <v>3775975</v>
      </c>
    </row>
    <row r="589" ht="16.5" customHeight="1" spans="1:8">
      <c r="A589" s="171"/>
      <c r="B589" s="172"/>
      <c r="C589" s="173" t="s">
        <v>787</v>
      </c>
      <c r="D589" s="172"/>
      <c r="E589" s="174"/>
      <c r="F589" s="175"/>
      <c r="G589" s="176"/>
      <c r="H589" s="175">
        <f>ROUND(H590,0)</f>
        <v>5461155</v>
      </c>
    </row>
    <row r="590" ht="16.5" customHeight="1" spans="2:8">
      <c r="B590" s="145" t="s">
        <v>602</v>
      </c>
      <c r="C590" s="146" t="s">
        <v>603</v>
      </c>
      <c r="D590" s="145" t="s">
        <v>594</v>
      </c>
      <c r="E590" s="177">
        <v>22.5</v>
      </c>
      <c r="F590" s="148">
        <v>242718</v>
      </c>
      <c r="G590" s="178">
        <v>1</v>
      </c>
      <c r="H590" s="148">
        <f>ROUND(E590*F590*G590,0)</f>
        <v>5461155</v>
      </c>
    </row>
    <row r="591" ht="16.5" customHeight="1" spans="1:8">
      <c r="A591" s="171"/>
      <c r="B591" s="172"/>
      <c r="C591" s="173" t="s">
        <v>788</v>
      </c>
      <c r="D591" s="172"/>
      <c r="E591" s="174"/>
      <c r="F591" s="175"/>
      <c r="G591" s="176"/>
      <c r="H591" s="175">
        <f>ROUND(H595,0)</f>
        <v>924031</v>
      </c>
    </row>
    <row r="592" ht="16.5" customHeight="1" spans="2:8">
      <c r="B592" s="145" t="s">
        <v>659</v>
      </c>
      <c r="C592" s="146" t="s">
        <v>657</v>
      </c>
      <c r="D592" s="145" t="s">
        <v>612</v>
      </c>
      <c r="E592" s="177">
        <v>0.25</v>
      </c>
      <c r="F592" s="148">
        <v>740827</v>
      </c>
      <c r="G592" s="178">
        <v>1</v>
      </c>
      <c r="H592" s="148">
        <f>ROUND(E592*F592*G592,0)</f>
        <v>185207</v>
      </c>
    </row>
    <row r="593" ht="16.5" customHeight="1" spans="2:8">
      <c r="B593" s="145" t="s">
        <v>614</v>
      </c>
      <c r="C593" s="146" t="s">
        <v>615</v>
      </c>
      <c r="D593" s="145" t="s">
        <v>612</v>
      </c>
      <c r="E593" s="177">
        <v>0.25</v>
      </c>
      <c r="F593" s="148">
        <v>2882825</v>
      </c>
      <c r="G593" s="178">
        <v>1</v>
      </c>
      <c r="H593" s="148">
        <f>ROUND(E593*F593*G593,0)</f>
        <v>720706</v>
      </c>
    </row>
    <row r="594" ht="16.5" customHeight="1" spans="2:8">
      <c r="B594" s="145" t="s">
        <v>790</v>
      </c>
      <c r="C594" s="146" t="s">
        <v>791</v>
      </c>
      <c r="D594" s="145" t="s">
        <v>792</v>
      </c>
      <c r="E594" s="177">
        <v>2</v>
      </c>
      <c r="F594" s="148">
        <f>ROUND(SUM(H592:H593)/100,0)</f>
        <v>9059</v>
      </c>
      <c r="G594" s="144"/>
      <c r="H594" s="148">
        <f>ROUND(E594*F594,0)</f>
        <v>18118</v>
      </c>
    </row>
    <row r="595" ht="16.5" customHeight="1" spans="2:8">
      <c r="B595" s="145"/>
      <c r="C595" s="146" t="s">
        <v>818</v>
      </c>
      <c r="D595" s="145"/>
      <c r="E595" s="205"/>
      <c r="F595" s="148"/>
      <c r="G595" s="144"/>
      <c r="H595" s="148">
        <f>ROUND(SUM(H592:H594),0)</f>
        <v>924031</v>
      </c>
    </row>
    <row r="596" ht="27.75" customHeight="1" spans="1:8">
      <c r="A596" s="179"/>
      <c r="B596" s="180"/>
      <c r="C596" s="181" t="s">
        <v>804</v>
      </c>
      <c r="D596" s="180" t="s">
        <v>805</v>
      </c>
      <c r="E596" s="182"/>
      <c r="F596" s="183"/>
      <c r="G596" s="184"/>
      <c r="H596" s="183">
        <f>ROUND(H583+H589+H591,0)</f>
        <v>10161161</v>
      </c>
    </row>
    <row r="597" ht="16.5" customHeight="1" spans="1:8">
      <c r="A597" s="185"/>
      <c r="B597" s="186"/>
      <c r="C597" s="187" t="s">
        <v>806</v>
      </c>
      <c r="D597" s="186" t="s">
        <v>807</v>
      </c>
      <c r="E597" s="188" t="s">
        <v>808</v>
      </c>
      <c r="F597" s="189"/>
      <c r="G597" s="190"/>
      <c r="H597" s="189">
        <v>579186</v>
      </c>
    </row>
    <row r="598" ht="25.5" customHeight="1" spans="1:8">
      <c r="A598" s="185"/>
      <c r="B598" s="186"/>
      <c r="C598" s="187" t="s">
        <v>809</v>
      </c>
      <c r="D598" s="186" t="s">
        <v>810</v>
      </c>
      <c r="E598" s="188" t="s">
        <v>811</v>
      </c>
      <c r="F598" s="189"/>
      <c r="G598" s="190"/>
      <c r="H598" s="189">
        <v>590719</v>
      </c>
    </row>
    <row r="599" ht="28.5" customHeight="1" spans="1:8">
      <c r="A599" s="191"/>
      <c r="B599" s="192"/>
      <c r="C599" s="193" t="s">
        <v>812</v>
      </c>
      <c r="D599" s="192" t="s">
        <v>813</v>
      </c>
      <c r="E599" s="194"/>
      <c r="F599" s="195"/>
      <c r="G599" s="196"/>
      <c r="H599" s="195">
        <f>ROUND(H596+H597+H598,0)</f>
        <v>11331066</v>
      </c>
    </row>
    <row r="600" ht="25.5" customHeight="1" spans="1:8">
      <c r="A600" s="185"/>
      <c r="B600" s="186"/>
      <c r="C600" s="187" t="s">
        <v>814</v>
      </c>
      <c r="D600" s="186" t="s">
        <v>815</v>
      </c>
      <c r="E600" s="197">
        <v>0.1</v>
      </c>
      <c r="F600" s="189"/>
      <c r="G600" s="190"/>
      <c r="H600" s="189">
        <f>ROUND(E600*H599,0)</f>
        <v>1133107</v>
      </c>
    </row>
    <row r="601" ht="30.75" customHeight="1" spans="1:8">
      <c r="A601" s="198"/>
      <c r="B601" s="199"/>
      <c r="C601" s="200" t="s">
        <v>816</v>
      </c>
      <c r="D601" s="199" t="s">
        <v>817</v>
      </c>
      <c r="E601" s="201"/>
      <c r="F601" s="202"/>
      <c r="G601" s="203"/>
      <c r="H601" s="204">
        <f>ROUND(H599+H600,0)</f>
        <v>12464173</v>
      </c>
    </row>
    <row r="602" ht="54.75" customHeight="1" spans="1:8">
      <c r="A602" s="166">
        <v>10</v>
      </c>
      <c r="B602" s="167" t="s">
        <v>313</v>
      </c>
      <c r="C602" s="168" t="s">
        <v>314</v>
      </c>
      <c r="D602" s="167" t="s">
        <v>114</v>
      </c>
      <c r="E602" s="169">
        <v>1</v>
      </c>
      <c r="F602" s="170"/>
      <c r="G602" s="166"/>
      <c r="H602" s="170"/>
    </row>
    <row r="603" ht="16.5" customHeight="1" spans="1:8">
      <c r="A603" s="171"/>
      <c r="B603" s="172"/>
      <c r="C603" s="173" t="s">
        <v>789</v>
      </c>
      <c r="D603" s="172"/>
      <c r="E603" s="174"/>
      <c r="F603" s="175"/>
      <c r="G603" s="176"/>
      <c r="H603" s="175">
        <f>ROUND(H606,0)</f>
        <v>13392900</v>
      </c>
    </row>
    <row r="604" ht="16.5" customHeight="1" spans="2:8">
      <c r="B604" s="145" t="s">
        <v>572</v>
      </c>
      <c r="C604" s="146" t="s">
        <v>573</v>
      </c>
      <c r="D604" s="145" t="s">
        <v>518</v>
      </c>
      <c r="E604" s="177">
        <v>1005</v>
      </c>
      <c r="F604" s="148">
        <v>12900</v>
      </c>
      <c r="G604" s="144"/>
      <c r="H604" s="148">
        <f>ROUND(E604*F604,0)</f>
        <v>12964500</v>
      </c>
    </row>
    <row r="605" ht="16.5" customHeight="1" spans="2:8">
      <c r="B605" s="145" t="s">
        <v>521</v>
      </c>
      <c r="C605" s="146" t="s">
        <v>522</v>
      </c>
      <c r="D605" s="145" t="s">
        <v>518</v>
      </c>
      <c r="E605" s="177">
        <v>21.42</v>
      </c>
      <c r="F605" s="148">
        <v>20000</v>
      </c>
      <c r="G605" s="144"/>
      <c r="H605" s="148">
        <f>ROUND(E605*F605,0)</f>
        <v>428400</v>
      </c>
    </row>
    <row r="606" ht="16.5" customHeight="1" spans="2:8">
      <c r="B606" s="145"/>
      <c r="C606" s="146" t="s">
        <v>818</v>
      </c>
      <c r="D606" s="145"/>
      <c r="E606" s="205"/>
      <c r="F606" s="148"/>
      <c r="G606" s="144"/>
      <c r="H606" s="148">
        <f>ROUND(SUM(H604:H605),0)</f>
        <v>13392900</v>
      </c>
    </row>
    <row r="607" ht="16.5" customHeight="1" spans="1:8">
      <c r="A607" s="171"/>
      <c r="B607" s="172"/>
      <c r="C607" s="173" t="s">
        <v>787</v>
      </c>
      <c r="D607" s="172"/>
      <c r="E607" s="174"/>
      <c r="F607" s="175"/>
      <c r="G607" s="176"/>
      <c r="H607" s="175">
        <f>ROUND(H608,0)</f>
        <v>4086400</v>
      </c>
    </row>
    <row r="608" ht="16.5" customHeight="1" spans="2:8">
      <c r="B608" s="145" t="s">
        <v>596</v>
      </c>
      <c r="C608" s="146" t="s">
        <v>597</v>
      </c>
      <c r="D608" s="145" t="s">
        <v>594</v>
      </c>
      <c r="E608" s="177">
        <v>18.23</v>
      </c>
      <c r="F608" s="148">
        <v>224158</v>
      </c>
      <c r="G608" s="178">
        <v>1</v>
      </c>
      <c r="H608" s="148">
        <f>ROUND(E608*F608*G608,0)</f>
        <v>4086400</v>
      </c>
    </row>
    <row r="609" ht="16.5" customHeight="1" spans="1:8">
      <c r="A609" s="171"/>
      <c r="B609" s="172"/>
      <c r="C609" s="173" t="s">
        <v>788</v>
      </c>
      <c r="D609" s="172"/>
      <c r="E609" s="174"/>
      <c r="F609" s="175"/>
      <c r="G609" s="176"/>
      <c r="H609" s="175">
        <f>ROUND(H614,0)</f>
        <v>208988</v>
      </c>
    </row>
    <row r="610" ht="16.5" customHeight="1" spans="2:8">
      <c r="B610" s="145" t="s">
        <v>621</v>
      </c>
      <c r="C610" s="146" t="s">
        <v>622</v>
      </c>
      <c r="D610" s="145" t="s">
        <v>612</v>
      </c>
      <c r="E610" s="177">
        <v>0.4</v>
      </c>
      <c r="F610" s="148">
        <v>240449</v>
      </c>
      <c r="G610" s="178">
        <v>1</v>
      </c>
      <c r="H610" s="148">
        <f>ROUND(E610*F610*G610,0)</f>
        <v>96180</v>
      </c>
    </row>
    <row r="611" ht="16.5" customHeight="1" spans="2:8">
      <c r="B611" s="145" t="s">
        <v>656</v>
      </c>
      <c r="C611" s="146" t="s">
        <v>657</v>
      </c>
      <c r="D611" s="145" t="s">
        <v>612</v>
      </c>
      <c r="E611" s="177">
        <v>0.03</v>
      </c>
      <c r="F611" s="148">
        <v>740827</v>
      </c>
      <c r="G611" s="178">
        <v>1</v>
      </c>
      <c r="H611" s="148">
        <f>ROUND(E611*F611*G611,0)</f>
        <v>22225</v>
      </c>
    </row>
    <row r="612" ht="16.5" customHeight="1" spans="2:8">
      <c r="B612" s="145" t="s">
        <v>614</v>
      </c>
      <c r="C612" s="146" t="s">
        <v>615</v>
      </c>
      <c r="D612" s="145" t="s">
        <v>612</v>
      </c>
      <c r="E612" s="177">
        <v>0.03</v>
      </c>
      <c r="F612" s="148">
        <v>2882825</v>
      </c>
      <c r="G612" s="178">
        <v>1</v>
      </c>
      <c r="H612" s="148">
        <f>ROUND(E612*F612*G612,0)</f>
        <v>86485</v>
      </c>
    </row>
    <row r="613" ht="16.5" customHeight="1" spans="2:8">
      <c r="B613" s="145" t="s">
        <v>790</v>
      </c>
      <c r="C613" s="146" t="s">
        <v>791</v>
      </c>
      <c r="D613" s="145" t="s">
        <v>792</v>
      </c>
      <c r="E613" s="177">
        <v>2</v>
      </c>
      <c r="F613" s="148">
        <f>ROUND(SUM(H610:H612)/100,0)</f>
        <v>2049</v>
      </c>
      <c r="G613" s="144"/>
      <c r="H613" s="148">
        <f>ROUND(E613*F613,0)</f>
        <v>4098</v>
      </c>
    </row>
    <row r="614" ht="16.5" customHeight="1" spans="2:8">
      <c r="B614" s="145"/>
      <c r="C614" s="146" t="s">
        <v>818</v>
      </c>
      <c r="D614" s="145"/>
      <c r="E614" s="205"/>
      <c r="F614" s="148"/>
      <c r="G614" s="144"/>
      <c r="H614" s="148">
        <f>ROUND(SUM(H610:H613),0)</f>
        <v>208988</v>
      </c>
    </row>
    <row r="615" ht="27.75" customHeight="1" spans="1:8">
      <c r="A615" s="179"/>
      <c r="B615" s="180"/>
      <c r="C615" s="181" t="s">
        <v>804</v>
      </c>
      <c r="D615" s="180" t="s">
        <v>805</v>
      </c>
      <c r="E615" s="182"/>
      <c r="F615" s="183"/>
      <c r="G615" s="184"/>
      <c r="H615" s="183">
        <f>ROUND(H603+H607+H609,0)</f>
        <v>17688288</v>
      </c>
    </row>
    <row r="616" ht="16.5" customHeight="1" spans="1:8">
      <c r="A616" s="185"/>
      <c r="B616" s="186"/>
      <c r="C616" s="187" t="s">
        <v>806</v>
      </c>
      <c r="D616" s="186" t="s">
        <v>807</v>
      </c>
      <c r="E616" s="188" t="s">
        <v>808</v>
      </c>
      <c r="F616" s="189"/>
      <c r="G616" s="190"/>
      <c r="H616" s="189">
        <v>1008232</v>
      </c>
    </row>
    <row r="617" ht="25.5" customHeight="1" spans="1:8">
      <c r="A617" s="185"/>
      <c r="B617" s="186"/>
      <c r="C617" s="187" t="s">
        <v>809</v>
      </c>
      <c r="D617" s="186" t="s">
        <v>810</v>
      </c>
      <c r="E617" s="188" t="s">
        <v>811</v>
      </c>
      <c r="F617" s="189"/>
      <c r="G617" s="190"/>
      <c r="H617" s="189">
        <v>1028309</v>
      </c>
    </row>
    <row r="618" ht="28.5" customHeight="1" spans="1:8">
      <c r="A618" s="191"/>
      <c r="B618" s="192"/>
      <c r="C618" s="193" t="s">
        <v>812</v>
      </c>
      <c r="D618" s="192" t="s">
        <v>813</v>
      </c>
      <c r="E618" s="194"/>
      <c r="F618" s="195"/>
      <c r="G618" s="196"/>
      <c r="H618" s="195">
        <f>ROUND(H615+H616+H617,0)</f>
        <v>19724829</v>
      </c>
    </row>
    <row r="619" ht="25.5" customHeight="1" spans="1:8">
      <c r="A619" s="185"/>
      <c r="B619" s="186"/>
      <c r="C619" s="187" t="s">
        <v>814</v>
      </c>
      <c r="D619" s="186" t="s">
        <v>815</v>
      </c>
      <c r="E619" s="197">
        <v>0.1</v>
      </c>
      <c r="F619" s="189"/>
      <c r="G619" s="190"/>
      <c r="H619" s="189">
        <f>ROUND(E619*H618,0)</f>
        <v>1972483</v>
      </c>
    </row>
    <row r="620" ht="30.75" customHeight="1" spans="1:8">
      <c r="A620" s="198"/>
      <c r="B620" s="199"/>
      <c r="C620" s="200" t="s">
        <v>816</v>
      </c>
      <c r="D620" s="199" t="s">
        <v>817</v>
      </c>
      <c r="E620" s="201"/>
      <c r="F620" s="202"/>
      <c r="G620" s="203"/>
      <c r="H620" s="204">
        <f>ROUND(H618+H619,0)</f>
        <v>21697312</v>
      </c>
    </row>
    <row r="621" ht="54.75" customHeight="1" spans="1:8">
      <c r="A621" s="166">
        <v>11</v>
      </c>
      <c r="B621" s="167" t="s">
        <v>342</v>
      </c>
      <c r="C621" s="168" t="s">
        <v>343</v>
      </c>
      <c r="D621" s="167" t="s">
        <v>114</v>
      </c>
      <c r="E621" s="169">
        <v>1</v>
      </c>
      <c r="F621" s="170"/>
      <c r="G621" s="166"/>
      <c r="H621" s="170"/>
    </row>
    <row r="622" ht="16.5" customHeight="1" spans="1:8">
      <c r="A622" s="171"/>
      <c r="B622" s="172"/>
      <c r="C622" s="173" t="s">
        <v>789</v>
      </c>
      <c r="D622" s="172"/>
      <c r="E622" s="174"/>
      <c r="F622" s="175"/>
      <c r="G622" s="176"/>
      <c r="H622" s="175">
        <f>ROUND(H626,0)</f>
        <v>13944660</v>
      </c>
    </row>
    <row r="623" ht="16.5" customHeight="1" spans="2:8">
      <c r="B623" s="145" t="s">
        <v>575</v>
      </c>
      <c r="C623" s="146" t="s">
        <v>576</v>
      </c>
      <c r="D623" s="145" t="s">
        <v>518</v>
      </c>
      <c r="E623" s="177">
        <v>1020</v>
      </c>
      <c r="F623" s="148">
        <v>13300</v>
      </c>
      <c r="G623" s="144"/>
      <c r="H623" s="148">
        <f>ROUND(E623*F623,0)</f>
        <v>13566000</v>
      </c>
    </row>
    <row r="624" ht="16.5" customHeight="1" spans="2:8">
      <c r="B624" s="145" t="s">
        <v>521</v>
      </c>
      <c r="C624" s="146" t="s">
        <v>522</v>
      </c>
      <c r="D624" s="145" t="s">
        <v>518</v>
      </c>
      <c r="E624" s="177">
        <v>14.28</v>
      </c>
      <c r="F624" s="148">
        <v>20000</v>
      </c>
      <c r="G624" s="144"/>
      <c r="H624" s="148">
        <f>ROUND(E624*F624,0)</f>
        <v>285600</v>
      </c>
    </row>
    <row r="625" ht="16.5" customHeight="1" spans="2:8">
      <c r="B625" s="145" t="s">
        <v>569</v>
      </c>
      <c r="C625" s="146" t="s">
        <v>570</v>
      </c>
      <c r="D625" s="145" t="s">
        <v>518</v>
      </c>
      <c r="E625" s="177">
        <v>4.7</v>
      </c>
      <c r="F625" s="148">
        <v>19800</v>
      </c>
      <c r="G625" s="144"/>
      <c r="H625" s="148">
        <f>ROUND(E625*F625,0)</f>
        <v>93060</v>
      </c>
    </row>
    <row r="626" ht="16.5" customHeight="1" spans="2:8">
      <c r="B626" s="145"/>
      <c r="C626" s="146" t="s">
        <v>818</v>
      </c>
      <c r="D626" s="145"/>
      <c r="E626" s="205"/>
      <c r="F626" s="148"/>
      <c r="G626" s="144"/>
      <c r="H626" s="148">
        <f>ROUND(SUM(H623:H625),0)</f>
        <v>13944660</v>
      </c>
    </row>
    <row r="627" ht="16.5" customHeight="1" spans="1:8">
      <c r="A627" s="171"/>
      <c r="B627" s="172"/>
      <c r="C627" s="173" t="s">
        <v>787</v>
      </c>
      <c r="D627" s="172"/>
      <c r="E627" s="174"/>
      <c r="F627" s="175"/>
      <c r="G627" s="176"/>
      <c r="H627" s="175">
        <f>ROUND(H628,0)</f>
        <v>2566609</v>
      </c>
    </row>
    <row r="628" ht="16.5" customHeight="1" spans="2:8">
      <c r="B628" s="145" t="s">
        <v>596</v>
      </c>
      <c r="C628" s="146" t="s">
        <v>597</v>
      </c>
      <c r="D628" s="145" t="s">
        <v>594</v>
      </c>
      <c r="E628" s="177">
        <v>11.45</v>
      </c>
      <c r="F628" s="148">
        <v>224158</v>
      </c>
      <c r="G628" s="178">
        <v>1</v>
      </c>
      <c r="H628" s="148">
        <f>ROUND(E628*F628*G628,0)</f>
        <v>2566609</v>
      </c>
    </row>
    <row r="629" ht="16.5" customHeight="1" spans="1:8">
      <c r="A629" s="171"/>
      <c r="B629" s="172"/>
      <c r="C629" s="173" t="s">
        <v>788</v>
      </c>
      <c r="D629" s="172"/>
      <c r="E629" s="174"/>
      <c r="F629" s="175"/>
      <c r="G629" s="176"/>
      <c r="H629" s="175">
        <f>ROUND(H635,0)</f>
        <v>588236</v>
      </c>
    </row>
    <row r="630" ht="16.5" customHeight="1" spans="2:8">
      <c r="B630" s="145" t="s">
        <v>636</v>
      </c>
      <c r="C630" s="146" t="s">
        <v>637</v>
      </c>
      <c r="D630" s="145" t="s">
        <v>612</v>
      </c>
      <c r="E630" s="177">
        <v>1.133</v>
      </c>
      <c r="F630" s="148">
        <v>361135</v>
      </c>
      <c r="G630" s="178">
        <v>1</v>
      </c>
      <c r="H630" s="148">
        <f>ROUND(E630*F630*G630,0)</f>
        <v>409166</v>
      </c>
    </row>
    <row r="631" ht="16.5" customHeight="1" spans="2:8">
      <c r="B631" s="145" t="s">
        <v>621</v>
      </c>
      <c r="C631" s="146" t="s">
        <v>622</v>
      </c>
      <c r="D631" s="145" t="s">
        <v>612</v>
      </c>
      <c r="E631" s="177">
        <v>0.32</v>
      </c>
      <c r="F631" s="148">
        <v>240449</v>
      </c>
      <c r="G631" s="178">
        <v>1</v>
      </c>
      <c r="H631" s="148">
        <f>ROUND(E631*F631*G631,0)</f>
        <v>76944</v>
      </c>
    </row>
    <row r="632" ht="16.5" customHeight="1" spans="2:8">
      <c r="B632" s="145" t="s">
        <v>656</v>
      </c>
      <c r="C632" s="146" t="s">
        <v>657</v>
      </c>
      <c r="D632" s="145" t="s">
        <v>612</v>
      </c>
      <c r="E632" s="177">
        <v>0.025</v>
      </c>
      <c r="F632" s="148">
        <v>740827</v>
      </c>
      <c r="G632" s="178">
        <v>1</v>
      </c>
      <c r="H632" s="148">
        <f>ROUND(E632*F632*G632,0)</f>
        <v>18521</v>
      </c>
    </row>
    <row r="633" ht="16.5" customHeight="1" spans="2:8">
      <c r="B633" s="145" t="s">
        <v>614</v>
      </c>
      <c r="C633" s="146" t="s">
        <v>615</v>
      </c>
      <c r="D633" s="145" t="s">
        <v>612</v>
      </c>
      <c r="E633" s="177">
        <v>0.025</v>
      </c>
      <c r="F633" s="148">
        <v>2882825</v>
      </c>
      <c r="G633" s="178">
        <v>1</v>
      </c>
      <c r="H633" s="148">
        <f>ROUND(E633*F633*G633,0)</f>
        <v>72071</v>
      </c>
    </row>
    <row r="634" ht="16.5" customHeight="1" spans="2:8">
      <c r="B634" s="145" t="s">
        <v>790</v>
      </c>
      <c r="C634" s="146" t="s">
        <v>791</v>
      </c>
      <c r="D634" s="145" t="s">
        <v>792</v>
      </c>
      <c r="E634" s="177">
        <v>2</v>
      </c>
      <c r="F634" s="148">
        <f>ROUND(SUM(H630:H633)/100,0)</f>
        <v>5767</v>
      </c>
      <c r="G634" s="144"/>
      <c r="H634" s="148">
        <f>ROUND(E634*F634,0)</f>
        <v>11534</v>
      </c>
    </row>
    <row r="635" ht="16.5" customHeight="1" spans="2:8">
      <c r="B635" s="145"/>
      <c r="C635" s="146" t="s">
        <v>818</v>
      </c>
      <c r="D635" s="145"/>
      <c r="E635" s="205"/>
      <c r="F635" s="148"/>
      <c r="G635" s="144"/>
      <c r="H635" s="148">
        <f>ROUND(SUM(H630:H634),0)</f>
        <v>588236</v>
      </c>
    </row>
    <row r="636" ht="27.75" customHeight="1" spans="1:8">
      <c r="A636" s="179"/>
      <c r="B636" s="180"/>
      <c r="C636" s="181" t="s">
        <v>804</v>
      </c>
      <c r="D636" s="180" t="s">
        <v>805</v>
      </c>
      <c r="E636" s="182"/>
      <c r="F636" s="183"/>
      <c r="G636" s="184"/>
      <c r="H636" s="183">
        <f>ROUND(H622+H627+H629,0)</f>
        <v>17099505</v>
      </c>
    </row>
    <row r="637" ht="16.5" customHeight="1" spans="1:8">
      <c r="A637" s="185"/>
      <c r="B637" s="186"/>
      <c r="C637" s="187" t="s">
        <v>806</v>
      </c>
      <c r="D637" s="186" t="s">
        <v>807</v>
      </c>
      <c r="E637" s="188" t="s">
        <v>808</v>
      </c>
      <c r="F637" s="189"/>
      <c r="G637" s="190"/>
      <c r="H637" s="189">
        <v>974672</v>
      </c>
    </row>
    <row r="638" ht="25.5" customHeight="1" spans="1:8">
      <c r="A638" s="185"/>
      <c r="B638" s="186"/>
      <c r="C638" s="187" t="s">
        <v>809</v>
      </c>
      <c r="D638" s="186" t="s">
        <v>810</v>
      </c>
      <c r="E638" s="188" t="s">
        <v>811</v>
      </c>
      <c r="F638" s="189"/>
      <c r="G638" s="190"/>
      <c r="H638" s="189">
        <v>994080</v>
      </c>
    </row>
    <row r="639" ht="28.5" customHeight="1" spans="1:8">
      <c r="A639" s="191"/>
      <c r="B639" s="192"/>
      <c r="C639" s="193" t="s">
        <v>812</v>
      </c>
      <c r="D639" s="192" t="s">
        <v>813</v>
      </c>
      <c r="E639" s="194"/>
      <c r="F639" s="195"/>
      <c r="G639" s="196"/>
      <c r="H639" s="195">
        <f>ROUND(H636+H637+H638,0)</f>
        <v>19068257</v>
      </c>
    </row>
    <row r="640" ht="25.5" customHeight="1" spans="1:8">
      <c r="A640" s="185"/>
      <c r="B640" s="186"/>
      <c r="C640" s="187" t="s">
        <v>814</v>
      </c>
      <c r="D640" s="186" t="s">
        <v>815</v>
      </c>
      <c r="E640" s="197">
        <v>0.1</v>
      </c>
      <c r="F640" s="189"/>
      <c r="G640" s="190"/>
      <c r="H640" s="189">
        <f>ROUND(E640*H639,0)</f>
        <v>1906826</v>
      </c>
    </row>
    <row r="641" ht="30.75" customHeight="1" spans="1:8">
      <c r="A641" s="198"/>
      <c r="B641" s="199"/>
      <c r="C641" s="200" t="s">
        <v>816</v>
      </c>
      <c r="D641" s="199" t="s">
        <v>817</v>
      </c>
      <c r="E641" s="201"/>
      <c r="F641" s="202"/>
      <c r="G641" s="203"/>
      <c r="H641" s="204">
        <f>ROUND(H639+H640,0)</f>
        <v>20975083</v>
      </c>
    </row>
    <row r="642" ht="54.75" customHeight="1" spans="1:8">
      <c r="A642" s="166">
        <v>12</v>
      </c>
      <c r="B642" s="167" t="s">
        <v>373</v>
      </c>
      <c r="C642" s="168" t="s">
        <v>374</v>
      </c>
      <c r="D642" s="167" t="s">
        <v>114</v>
      </c>
      <c r="E642" s="169">
        <v>1</v>
      </c>
      <c r="F642" s="170"/>
      <c r="G642" s="166"/>
      <c r="H642" s="170"/>
    </row>
    <row r="643" ht="16.5" customHeight="1" spans="1:8">
      <c r="A643" s="171"/>
      <c r="B643" s="172"/>
      <c r="C643" s="173" t="s">
        <v>789</v>
      </c>
      <c r="D643" s="172"/>
      <c r="E643" s="174"/>
      <c r="F643" s="175"/>
      <c r="G643" s="176"/>
      <c r="H643" s="175">
        <f>ROUND(H647,0)</f>
        <v>13971192</v>
      </c>
    </row>
    <row r="644" ht="16.5" customHeight="1" spans="2:8">
      <c r="B644" s="145" t="s">
        <v>578</v>
      </c>
      <c r="C644" s="146" t="s">
        <v>579</v>
      </c>
      <c r="D644" s="145" t="s">
        <v>518</v>
      </c>
      <c r="E644" s="177">
        <v>1020</v>
      </c>
      <c r="F644" s="148">
        <v>13300</v>
      </c>
      <c r="G644" s="144"/>
      <c r="H644" s="148">
        <f>ROUND(E644*F644,0)</f>
        <v>13566000</v>
      </c>
    </row>
    <row r="645" ht="16.5" customHeight="1" spans="2:8">
      <c r="B645" s="145" t="s">
        <v>521</v>
      </c>
      <c r="C645" s="146" t="s">
        <v>522</v>
      </c>
      <c r="D645" s="145" t="s">
        <v>518</v>
      </c>
      <c r="E645" s="177">
        <v>14.28</v>
      </c>
      <c r="F645" s="148">
        <v>20000</v>
      </c>
      <c r="G645" s="144"/>
      <c r="H645" s="148">
        <f>ROUND(E645*F645,0)</f>
        <v>285600</v>
      </c>
    </row>
    <row r="646" ht="16.5" customHeight="1" spans="2:8">
      <c r="B646" s="145" t="s">
        <v>569</v>
      </c>
      <c r="C646" s="146" t="s">
        <v>570</v>
      </c>
      <c r="D646" s="145" t="s">
        <v>518</v>
      </c>
      <c r="E646" s="177">
        <v>6.04</v>
      </c>
      <c r="F646" s="148">
        <v>19800</v>
      </c>
      <c r="G646" s="144"/>
      <c r="H646" s="148">
        <f>ROUND(E646*F646,0)</f>
        <v>119592</v>
      </c>
    </row>
    <row r="647" ht="16.5" customHeight="1" spans="2:8">
      <c r="B647" s="145"/>
      <c r="C647" s="146" t="s">
        <v>818</v>
      </c>
      <c r="D647" s="145"/>
      <c r="E647" s="205"/>
      <c r="F647" s="148"/>
      <c r="G647" s="144"/>
      <c r="H647" s="148">
        <f>ROUND(SUM(H644:H646),0)</f>
        <v>13971192</v>
      </c>
    </row>
    <row r="648" ht="16.5" customHeight="1" spans="1:8">
      <c r="A648" s="171"/>
      <c r="B648" s="172"/>
      <c r="C648" s="173" t="s">
        <v>787</v>
      </c>
      <c r="D648" s="172"/>
      <c r="E648" s="174"/>
      <c r="F648" s="175"/>
      <c r="G648" s="176"/>
      <c r="H648" s="175">
        <f>ROUND(H649,0)</f>
        <v>2263996</v>
      </c>
    </row>
    <row r="649" ht="16.5" customHeight="1" spans="2:8">
      <c r="B649" s="145" t="s">
        <v>596</v>
      </c>
      <c r="C649" s="146" t="s">
        <v>597</v>
      </c>
      <c r="D649" s="145" t="s">
        <v>594</v>
      </c>
      <c r="E649" s="177">
        <v>10.1</v>
      </c>
      <c r="F649" s="148">
        <v>224158</v>
      </c>
      <c r="G649" s="178">
        <v>1</v>
      </c>
      <c r="H649" s="148">
        <f>ROUND(E649*F649*G649,0)</f>
        <v>2263996</v>
      </c>
    </row>
    <row r="650" ht="16.5" customHeight="1" spans="1:8">
      <c r="A650" s="171"/>
      <c r="B650" s="172"/>
      <c r="C650" s="173" t="s">
        <v>788</v>
      </c>
      <c r="D650" s="172"/>
      <c r="E650" s="174"/>
      <c r="F650" s="175"/>
      <c r="G650" s="176"/>
      <c r="H650" s="175">
        <f>ROUND(H656,0)</f>
        <v>656885</v>
      </c>
    </row>
    <row r="651" ht="16.5" customHeight="1" spans="2:8">
      <c r="B651" s="145" t="s">
        <v>636</v>
      </c>
      <c r="C651" s="146" t="s">
        <v>637</v>
      </c>
      <c r="D651" s="145" t="s">
        <v>612</v>
      </c>
      <c r="E651" s="177">
        <v>1.456</v>
      </c>
      <c r="F651" s="148">
        <v>361135</v>
      </c>
      <c r="G651" s="178">
        <v>1</v>
      </c>
      <c r="H651" s="148">
        <f>ROUND(E651*F651*G651,0)</f>
        <v>525813</v>
      </c>
    </row>
    <row r="652" ht="16.5" customHeight="1" spans="2:8">
      <c r="B652" s="145" t="s">
        <v>621</v>
      </c>
      <c r="C652" s="146" t="s">
        <v>622</v>
      </c>
      <c r="D652" s="145" t="s">
        <v>612</v>
      </c>
      <c r="E652" s="177">
        <v>0.16</v>
      </c>
      <c r="F652" s="148">
        <v>240449</v>
      </c>
      <c r="G652" s="178">
        <v>1</v>
      </c>
      <c r="H652" s="148">
        <f>ROUND(E652*F652*G652,0)</f>
        <v>38472</v>
      </c>
    </row>
    <row r="653" ht="16.5" customHeight="1" spans="2:8">
      <c r="B653" s="145" t="s">
        <v>656</v>
      </c>
      <c r="C653" s="146" t="s">
        <v>657</v>
      </c>
      <c r="D653" s="145" t="s">
        <v>612</v>
      </c>
      <c r="E653" s="177">
        <v>0.022</v>
      </c>
      <c r="F653" s="148">
        <v>740827</v>
      </c>
      <c r="G653" s="178">
        <v>1</v>
      </c>
      <c r="H653" s="148">
        <f>ROUND(E653*F653*G653,0)</f>
        <v>16298</v>
      </c>
    </row>
    <row r="654" ht="16.5" customHeight="1" spans="2:8">
      <c r="B654" s="145" t="s">
        <v>614</v>
      </c>
      <c r="C654" s="146" t="s">
        <v>615</v>
      </c>
      <c r="D654" s="145" t="s">
        <v>612</v>
      </c>
      <c r="E654" s="177">
        <v>0.022</v>
      </c>
      <c r="F654" s="148">
        <v>2882825</v>
      </c>
      <c r="G654" s="178">
        <v>1</v>
      </c>
      <c r="H654" s="148">
        <f>ROUND(E654*F654*G654,0)</f>
        <v>63422</v>
      </c>
    </row>
    <row r="655" ht="16.5" customHeight="1" spans="2:8">
      <c r="B655" s="145" t="s">
        <v>790</v>
      </c>
      <c r="C655" s="146" t="s">
        <v>791</v>
      </c>
      <c r="D655" s="145" t="s">
        <v>792</v>
      </c>
      <c r="E655" s="177">
        <v>2</v>
      </c>
      <c r="F655" s="148">
        <f>ROUND(SUM(H651:H654)/100,0)</f>
        <v>6440</v>
      </c>
      <c r="G655" s="144"/>
      <c r="H655" s="148">
        <f>ROUND(E655*F655,0)</f>
        <v>12880</v>
      </c>
    </row>
    <row r="656" ht="16.5" customHeight="1" spans="2:8">
      <c r="B656" s="145"/>
      <c r="C656" s="146" t="s">
        <v>818</v>
      </c>
      <c r="D656" s="145"/>
      <c r="E656" s="205"/>
      <c r="F656" s="148"/>
      <c r="G656" s="144"/>
      <c r="H656" s="148">
        <f>ROUND(SUM(H651:H655),0)</f>
        <v>656885</v>
      </c>
    </row>
    <row r="657" ht="27.75" customHeight="1" spans="1:8">
      <c r="A657" s="179"/>
      <c r="B657" s="180"/>
      <c r="C657" s="181" t="s">
        <v>804</v>
      </c>
      <c r="D657" s="180" t="s">
        <v>805</v>
      </c>
      <c r="E657" s="182"/>
      <c r="F657" s="183"/>
      <c r="G657" s="184"/>
      <c r="H657" s="183">
        <f>ROUND(H643+H648+H650,0)</f>
        <v>16892073</v>
      </c>
    </row>
    <row r="658" ht="16.5" customHeight="1" spans="1:8">
      <c r="A658" s="185"/>
      <c r="B658" s="186"/>
      <c r="C658" s="187" t="s">
        <v>806</v>
      </c>
      <c r="D658" s="186" t="s">
        <v>807</v>
      </c>
      <c r="E658" s="188" t="s">
        <v>808</v>
      </c>
      <c r="F658" s="189"/>
      <c r="G658" s="190"/>
      <c r="H658" s="189">
        <v>962848</v>
      </c>
    </row>
    <row r="659" ht="25.5" customHeight="1" spans="1:8">
      <c r="A659" s="185"/>
      <c r="B659" s="186"/>
      <c r="C659" s="187" t="s">
        <v>809</v>
      </c>
      <c r="D659" s="186" t="s">
        <v>810</v>
      </c>
      <c r="E659" s="188" t="s">
        <v>811</v>
      </c>
      <c r="F659" s="189"/>
      <c r="G659" s="190"/>
      <c r="H659" s="189">
        <v>982021</v>
      </c>
    </row>
    <row r="660" ht="28.5" customHeight="1" spans="1:8">
      <c r="A660" s="191"/>
      <c r="B660" s="192"/>
      <c r="C660" s="193" t="s">
        <v>812</v>
      </c>
      <c r="D660" s="192" t="s">
        <v>813</v>
      </c>
      <c r="E660" s="194"/>
      <c r="F660" s="195"/>
      <c r="G660" s="196"/>
      <c r="H660" s="195">
        <f>ROUND(H657+H658+H659,0)</f>
        <v>18836942</v>
      </c>
    </row>
    <row r="661" ht="25.5" customHeight="1" spans="1:8">
      <c r="A661" s="185"/>
      <c r="B661" s="186"/>
      <c r="C661" s="187" t="s">
        <v>814</v>
      </c>
      <c r="D661" s="186" t="s">
        <v>815</v>
      </c>
      <c r="E661" s="197">
        <v>0.1</v>
      </c>
      <c r="F661" s="189"/>
      <c r="G661" s="190"/>
      <c r="H661" s="189">
        <f>ROUND(E661*H660,0)</f>
        <v>1883694</v>
      </c>
    </row>
    <row r="662" ht="30.75" customHeight="1" spans="1:8">
      <c r="A662" s="198"/>
      <c r="B662" s="199"/>
      <c r="C662" s="200" t="s">
        <v>816</v>
      </c>
      <c r="D662" s="199" t="s">
        <v>817</v>
      </c>
      <c r="E662" s="201"/>
      <c r="F662" s="202"/>
      <c r="G662" s="203"/>
      <c r="H662" s="204">
        <f>ROUND(H660+H661,0)</f>
        <v>20720636</v>
      </c>
    </row>
    <row r="663" ht="54.75" customHeight="1" spans="1:8">
      <c r="A663" s="166">
        <v>13</v>
      </c>
      <c r="B663" s="167" t="s">
        <v>378</v>
      </c>
      <c r="C663" s="168" t="s">
        <v>379</v>
      </c>
      <c r="D663" s="167" t="s">
        <v>114</v>
      </c>
      <c r="E663" s="169">
        <v>1</v>
      </c>
      <c r="F663" s="170"/>
      <c r="G663" s="166"/>
      <c r="H663" s="170"/>
    </row>
    <row r="664" ht="16.5" customHeight="1" spans="1:8">
      <c r="A664" s="171"/>
      <c r="B664" s="172"/>
      <c r="C664" s="173" t="s">
        <v>789</v>
      </c>
      <c r="D664" s="172"/>
      <c r="E664" s="174"/>
      <c r="F664" s="175"/>
      <c r="G664" s="176"/>
      <c r="H664" s="175">
        <f>ROUND(H667,0)</f>
        <v>13392900</v>
      </c>
    </row>
    <row r="665" ht="16.5" customHeight="1" spans="2:8">
      <c r="B665" s="145" t="s">
        <v>572</v>
      </c>
      <c r="C665" s="146" t="s">
        <v>573</v>
      </c>
      <c r="D665" s="145" t="s">
        <v>518</v>
      </c>
      <c r="E665" s="177">
        <v>1005</v>
      </c>
      <c r="F665" s="148">
        <v>12900</v>
      </c>
      <c r="G665" s="144"/>
      <c r="H665" s="148">
        <f>ROUND(E665*F665,0)</f>
        <v>12964500</v>
      </c>
    </row>
    <row r="666" ht="16.5" customHeight="1" spans="2:8">
      <c r="B666" s="145" t="s">
        <v>521</v>
      </c>
      <c r="C666" s="146" t="s">
        <v>522</v>
      </c>
      <c r="D666" s="145" t="s">
        <v>518</v>
      </c>
      <c r="E666" s="177">
        <v>21.42</v>
      </c>
      <c r="F666" s="148">
        <v>20000</v>
      </c>
      <c r="G666" s="144"/>
      <c r="H666" s="148">
        <f>ROUND(E666*F666,0)</f>
        <v>428400</v>
      </c>
    </row>
    <row r="667" ht="16.5" customHeight="1" spans="2:8">
      <c r="B667" s="145"/>
      <c r="C667" s="146" t="s">
        <v>818</v>
      </c>
      <c r="D667" s="145"/>
      <c r="E667" s="205"/>
      <c r="F667" s="148"/>
      <c r="G667" s="144"/>
      <c r="H667" s="148">
        <f>ROUND(SUM(H665:H666),0)</f>
        <v>13392900</v>
      </c>
    </row>
    <row r="668" ht="16.5" customHeight="1" spans="1:8">
      <c r="A668" s="171"/>
      <c r="B668" s="172"/>
      <c r="C668" s="173" t="s">
        <v>787</v>
      </c>
      <c r="D668" s="172"/>
      <c r="E668" s="174"/>
      <c r="F668" s="175"/>
      <c r="G668" s="176"/>
      <c r="H668" s="175">
        <f>ROUND(H669,0)</f>
        <v>3608944</v>
      </c>
    </row>
    <row r="669" ht="16.5" customHeight="1" spans="2:8">
      <c r="B669" s="145" t="s">
        <v>596</v>
      </c>
      <c r="C669" s="146" t="s">
        <v>597</v>
      </c>
      <c r="D669" s="145" t="s">
        <v>594</v>
      </c>
      <c r="E669" s="177">
        <v>16.1</v>
      </c>
      <c r="F669" s="148">
        <v>224158</v>
      </c>
      <c r="G669" s="178">
        <v>1</v>
      </c>
      <c r="H669" s="148">
        <f>ROUND(E669*F669*G669,0)</f>
        <v>3608944</v>
      </c>
    </row>
    <row r="670" ht="16.5" customHeight="1" spans="1:8">
      <c r="A670" s="171"/>
      <c r="B670" s="172"/>
      <c r="C670" s="173" t="s">
        <v>788</v>
      </c>
      <c r="D670" s="172"/>
      <c r="E670" s="174"/>
      <c r="F670" s="175"/>
      <c r="G670" s="176"/>
      <c r="H670" s="175">
        <f>ROUND(H675,0)</f>
        <v>227468</v>
      </c>
    </row>
    <row r="671" ht="16.5" customHeight="1" spans="2:8">
      <c r="B671" s="145" t="s">
        <v>621</v>
      </c>
      <c r="C671" s="146" t="s">
        <v>622</v>
      </c>
      <c r="D671" s="145" t="s">
        <v>612</v>
      </c>
      <c r="E671" s="177">
        <v>0.4</v>
      </c>
      <c r="F671" s="148">
        <v>240449</v>
      </c>
      <c r="G671" s="178">
        <v>1</v>
      </c>
      <c r="H671" s="148">
        <f>ROUND(E671*F671*G671,0)</f>
        <v>96180</v>
      </c>
    </row>
    <row r="672" ht="16.5" customHeight="1" spans="2:8">
      <c r="B672" s="145" t="s">
        <v>656</v>
      </c>
      <c r="C672" s="146" t="s">
        <v>657</v>
      </c>
      <c r="D672" s="145" t="s">
        <v>612</v>
      </c>
      <c r="E672" s="177">
        <v>0.035</v>
      </c>
      <c r="F672" s="148">
        <v>740827</v>
      </c>
      <c r="G672" s="178">
        <v>1</v>
      </c>
      <c r="H672" s="148">
        <f>ROUND(E672*F672*G672,0)</f>
        <v>25929</v>
      </c>
    </row>
    <row r="673" ht="16.5" customHeight="1" spans="2:8">
      <c r="B673" s="145" t="s">
        <v>614</v>
      </c>
      <c r="C673" s="146" t="s">
        <v>615</v>
      </c>
      <c r="D673" s="145" t="s">
        <v>612</v>
      </c>
      <c r="E673" s="177">
        <v>0.035</v>
      </c>
      <c r="F673" s="148">
        <v>2882825</v>
      </c>
      <c r="G673" s="178">
        <v>1</v>
      </c>
      <c r="H673" s="148">
        <f>ROUND(E673*F673*G673,0)</f>
        <v>100899</v>
      </c>
    </row>
    <row r="674" ht="16.5" customHeight="1" spans="2:8">
      <c r="B674" s="145" t="s">
        <v>790</v>
      </c>
      <c r="C674" s="146" t="s">
        <v>791</v>
      </c>
      <c r="D674" s="145" t="s">
        <v>792</v>
      </c>
      <c r="E674" s="177">
        <v>2</v>
      </c>
      <c r="F674" s="148">
        <f>ROUND(SUM(H671:H673)/100,0)</f>
        <v>2230</v>
      </c>
      <c r="G674" s="144"/>
      <c r="H674" s="148">
        <f>ROUND(E674*F674,0)</f>
        <v>4460</v>
      </c>
    </row>
    <row r="675" ht="16.5" customHeight="1" spans="2:8">
      <c r="B675" s="145"/>
      <c r="C675" s="146" t="s">
        <v>818</v>
      </c>
      <c r="D675" s="145"/>
      <c r="E675" s="205"/>
      <c r="F675" s="148"/>
      <c r="G675" s="144"/>
      <c r="H675" s="148">
        <f>ROUND(SUM(H671:H674),0)</f>
        <v>227468</v>
      </c>
    </row>
    <row r="676" ht="27.75" customHeight="1" spans="1:8">
      <c r="A676" s="179"/>
      <c r="B676" s="180"/>
      <c r="C676" s="181" t="s">
        <v>804</v>
      </c>
      <c r="D676" s="180" t="s">
        <v>805</v>
      </c>
      <c r="E676" s="182"/>
      <c r="F676" s="183"/>
      <c r="G676" s="184"/>
      <c r="H676" s="183">
        <f>ROUND(H664+H668+H670,0)</f>
        <v>17229312</v>
      </c>
    </row>
    <row r="677" ht="16.5" customHeight="1" spans="1:8">
      <c r="A677" s="185"/>
      <c r="B677" s="186"/>
      <c r="C677" s="187" t="s">
        <v>806</v>
      </c>
      <c r="D677" s="186" t="s">
        <v>807</v>
      </c>
      <c r="E677" s="188" t="s">
        <v>808</v>
      </c>
      <c r="F677" s="189"/>
      <c r="G677" s="190"/>
      <c r="H677" s="189">
        <v>982071</v>
      </c>
    </row>
    <row r="678" ht="25.5" customHeight="1" spans="1:8">
      <c r="A678" s="185"/>
      <c r="B678" s="186"/>
      <c r="C678" s="187" t="s">
        <v>809</v>
      </c>
      <c r="D678" s="186" t="s">
        <v>810</v>
      </c>
      <c r="E678" s="188" t="s">
        <v>811</v>
      </c>
      <c r="F678" s="189"/>
      <c r="G678" s="190"/>
      <c r="H678" s="189">
        <v>1001626</v>
      </c>
    </row>
    <row r="679" ht="28.5" customHeight="1" spans="1:8">
      <c r="A679" s="191"/>
      <c r="B679" s="192"/>
      <c r="C679" s="193" t="s">
        <v>812</v>
      </c>
      <c r="D679" s="192" t="s">
        <v>813</v>
      </c>
      <c r="E679" s="194"/>
      <c r="F679" s="195"/>
      <c r="G679" s="196"/>
      <c r="H679" s="195">
        <f>ROUND(H676+H677+H678,0)</f>
        <v>19213009</v>
      </c>
    </row>
    <row r="680" ht="25.5" customHeight="1" spans="1:8">
      <c r="A680" s="185"/>
      <c r="B680" s="186"/>
      <c r="C680" s="187" t="s">
        <v>814</v>
      </c>
      <c r="D680" s="186" t="s">
        <v>815</v>
      </c>
      <c r="E680" s="197">
        <v>0.1</v>
      </c>
      <c r="F680" s="189"/>
      <c r="G680" s="190"/>
      <c r="H680" s="189">
        <f>ROUND(E680*H679,0)</f>
        <v>1921301</v>
      </c>
    </row>
    <row r="681" ht="30.75" customHeight="1" spans="1:8">
      <c r="A681" s="198"/>
      <c r="B681" s="199"/>
      <c r="C681" s="200" t="s">
        <v>816</v>
      </c>
      <c r="D681" s="199" t="s">
        <v>817</v>
      </c>
      <c r="E681" s="201"/>
      <c r="F681" s="202"/>
      <c r="G681" s="203"/>
      <c r="H681" s="204">
        <f>ROUND(H679+H680,0)</f>
        <v>21134310</v>
      </c>
    </row>
    <row r="682" ht="54.75" customHeight="1" spans="1:8">
      <c r="A682" s="166">
        <v>14</v>
      </c>
      <c r="B682" s="167" t="s">
        <v>388</v>
      </c>
      <c r="C682" s="168" t="s">
        <v>389</v>
      </c>
      <c r="D682" s="167" t="s">
        <v>114</v>
      </c>
      <c r="E682" s="169">
        <v>1</v>
      </c>
      <c r="F682" s="170"/>
      <c r="G682" s="166"/>
      <c r="H682" s="170"/>
    </row>
    <row r="683" ht="16.5" customHeight="1" spans="1:8">
      <c r="A683" s="171"/>
      <c r="B683" s="172"/>
      <c r="C683" s="173" t="s">
        <v>789</v>
      </c>
      <c r="D683" s="172"/>
      <c r="E683" s="174"/>
      <c r="F683" s="175"/>
      <c r="G683" s="176"/>
      <c r="H683" s="175">
        <f>ROUND(H686,0)</f>
        <v>13392900</v>
      </c>
    </row>
    <row r="684" ht="16.5" customHeight="1" spans="2:8">
      <c r="B684" s="145" t="s">
        <v>572</v>
      </c>
      <c r="C684" s="146" t="s">
        <v>573</v>
      </c>
      <c r="D684" s="145" t="s">
        <v>518</v>
      </c>
      <c r="E684" s="177">
        <v>1005</v>
      </c>
      <c r="F684" s="148">
        <v>12900</v>
      </c>
      <c r="G684" s="144"/>
      <c r="H684" s="148">
        <f>ROUND(E684*F684,0)</f>
        <v>12964500</v>
      </c>
    </row>
    <row r="685" ht="16.5" customHeight="1" spans="2:8">
      <c r="B685" s="145" t="s">
        <v>521</v>
      </c>
      <c r="C685" s="146" t="s">
        <v>522</v>
      </c>
      <c r="D685" s="145" t="s">
        <v>518</v>
      </c>
      <c r="E685" s="177">
        <v>21.42</v>
      </c>
      <c r="F685" s="148">
        <v>20000</v>
      </c>
      <c r="G685" s="144"/>
      <c r="H685" s="148">
        <f>ROUND(E685*F685,0)</f>
        <v>428400</v>
      </c>
    </row>
    <row r="686" ht="16.5" customHeight="1" spans="2:8">
      <c r="B686" s="145"/>
      <c r="C686" s="146" t="s">
        <v>818</v>
      </c>
      <c r="D686" s="145"/>
      <c r="E686" s="205"/>
      <c r="F686" s="148"/>
      <c r="G686" s="144"/>
      <c r="H686" s="148">
        <f>ROUND(SUM(H684:H685),0)</f>
        <v>13392900</v>
      </c>
    </row>
    <row r="687" ht="16.5" customHeight="1" spans="1:8">
      <c r="A687" s="171"/>
      <c r="B687" s="172"/>
      <c r="C687" s="173" t="s">
        <v>787</v>
      </c>
      <c r="D687" s="172"/>
      <c r="E687" s="174"/>
      <c r="F687" s="175"/>
      <c r="G687" s="176"/>
      <c r="H687" s="175">
        <f>ROUND(H688,0)</f>
        <v>3481174</v>
      </c>
    </row>
    <row r="688" ht="16.5" customHeight="1" spans="2:8">
      <c r="B688" s="145" t="s">
        <v>596</v>
      </c>
      <c r="C688" s="146" t="s">
        <v>597</v>
      </c>
      <c r="D688" s="145" t="s">
        <v>594</v>
      </c>
      <c r="E688" s="177">
        <v>15.53</v>
      </c>
      <c r="F688" s="148">
        <v>224158</v>
      </c>
      <c r="G688" s="178">
        <v>1</v>
      </c>
      <c r="H688" s="148">
        <f>ROUND(E688*F688*G688,0)</f>
        <v>3481174</v>
      </c>
    </row>
    <row r="689" ht="16.5" customHeight="1" spans="1:8">
      <c r="A689" s="171"/>
      <c r="B689" s="172"/>
      <c r="C689" s="173" t="s">
        <v>788</v>
      </c>
      <c r="D689" s="172"/>
      <c r="E689" s="174"/>
      <c r="F689" s="175"/>
      <c r="G689" s="176"/>
      <c r="H689" s="175">
        <f>ROUND(H694,0)</f>
        <v>201594</v>
      </c>
    </row>
    <row r="690" ht="16.5" customHeight="1" spans="2:8">
      <c r="B690" s="145" t="s">
        <v>621</v>
      </c>
      <c r="C690" s="146" t="s">
        <v>622</v>
      </c>
      <c r="D690" s="145" t="s">
        <v>612</v>
      </c>
      <c r="E690" s="177">
        <v>0.4</v>
      </c>
      <c r="F690" s="148">
        <v>240449</v>
      </c>
      <c r="G690" s="178">
        <v>1</v>
      </c>
      <c r="H690" s="148">
        <f>ROUND(E690*F690*G690,0)</f>
        <v>96180</v>
      </c>
    </row>
    <row r="691" ht="16.5" customHeight="1" spans="2:8">
      <c r="B691" s="145" t="s">
        <v>656</v>
      </c>
      <c r="C691" s="146" t="s">
        <v>657</v>
      </c>
      <c r="D691" s="145" t="s">
        <v>612</v>
      </c>
      <c r="E691" s="177">
        <v>0.028</v>
      </c>
      <c r="F691" s="148">
        <v>740827</v>
      </c>
      <c r="G691" s="178">
        <v>1</v>
      </c>
      <c r="H691" s="148">
        <f>ROUND(E691*F691*G691,0)</f>
        <v>20743</v>
      </c>
    </row>
    <row r="692" ht="16.5" customHeight="1" spans="2:8">
      <c r="B692" s="145" t="s">
        <v>614</v>
      </c>
      <c r="C692" s="146" t="s">
        <v>615</v>
      </c>
      <c r="D692" s="145" t="s">
        <v>612</v>
      </c>
      <c r="E692" s="177">
        <v>0.028</v>
      </c>
      <c r="F692" s="148">
        <v>2882825</v>
      </c>
      <c r="G692" s="178">
        <v>1</v>
      </c>
      <c r="H692" s="148">
        <f>ROUND(E692*F692*G692,0)</f>
        <v>80719</v>
      </c>
    </row>
    <row r="693" ht="16.5" customHeight="1" spans="2:8">
      <c r="B693" s="145" t="s">
        <v>790</v>
      </c>
      <c r="C693" s="146" t="s">
        <v>791</v>
      </c>
      <c r="D693" s="145" t="s">
        <v>792</v>
      </c>
      <c r="E693" s="177">
        <v>2</v>
      </c>
      <c r="F693" s="148">
        <f>ROUND(SUM(H690:H692)/100,0)</f>
        <v>1976</v>
      </c>
      <c r="G693" s="144"/>
      <c r="H693" s="148">
        <f>ROUND(E693*F693,0)</f>
        <v>3952</v>
      </c>
    </row>
    <row r="694" ht="16.5" customHeight="1" spans="2:8">
      <c r="B694" s="145"/>
      <c r="C694" s="146" t="s">
        <v>818</v>
      </c>
      <c r="D694" s="145"/>
      <c r="E694" s="205"/>
      <c r="F694" s="148"/>
      <c r="G694" s="144"/>
      <c r="H694" s="148">
        <f>ROUND(SUM(H690:H693),0)</f>
        <v>201594</v>
      </c>
    </row>
    <row r="695" ht="27.75" customHeight="1" spans="1:8">
      <c r="A695" s="179"/>
      <c r="B695" s="180"/>
      <c r="C695" s="181" t="s">
        <v>804</v>
      </c>
      <c r="D695" s="180" t="s">
        <v>805</v>
      </c>
      <c r="E695" s="182"/>
      <c r="F695" s="183"/>
      <c r="G695" s="184"/>
      <c r="H695" s="183">
        <f>ROUND(H683+H687+H689,0)</f>
        <v>17075668</v>
      </c>
    </row>
    <row r="696" ht="16.5" customHeight="1" spans="1:8">
      <c r="A696" s="185"/>
      <c r="B696" s="186"/>
      <c r="C696" s="187" t="s">
        <v>806</v>
      </c>
      <c r="D696" s="186" t="s">
        <v>807</v>
      </c>
      <c r="E696" s="188" t="s">
        <v>808</v>
      </c>
      <c r="F696" s="189"/>
      <c r="G696" s="190"/>
      <c r="H696" s="189">
        <v>973313</v>
      </c>
    </row>
    <row r="697" ht="25.5" customHeight="1" spans="1:8">
      <c r="A697" s="185"/>
      <c r="B697" s="186"/>
      <c r="C697" s="187" t="s">
        <v>809</v>
      </c>
      <c r="D697" s="186" t="s">
        <v>810</v>
      </c>
      <c r="E697" s="188" t="s">
        <v>811</v>
      </c>
      <c r="F697" s="189"/>
      <c r="G697" s="190"/>
      <c r="H697" s="189">
        <v>992694</v>
      </c>
    </row>
    <row r="698" ht="28.5" customHeight="1" spans="1:8">
      <c r="A698" s="191"/>
      <c r="B698" s="192"/>
      <c r="C698" s="193" t="s">
        <v>812</v>
      </c>
      <c r="D698" s="192" t="s">
        <v>813</v>
      </c>
      <c r="E698" s="194"/>
      <c r="F698" s="195"/>
      <c r="G698" s="196"/>
      <c r="H698" s="195">
        <f>ROUND(H695+H696+H697,0)</f>
        <v>19041675</v>
      </c>
    </row>
    <row r="699" ht="25.5" customHeight="1" spans="1:8">
      <c r="A699" s="185"/>
      <c r="B699" s="186"/>
      <c r="C699" s="187" t="s">
        <v>814</v>
      </c>
      <c r="D699" s="186" t="s">
        <v>815</v>
      </c>
      <c r="E699" s="197">
        <v>0.1</v>
      </c>
      <c r="F699" s="189"/>
      <c r="G699" s="190"/>
      <c r="H699" s="189">
        <f>ROUND(E699*H698,0)</f>
        <v>1904168</v>
      </c>
    </row>
    <row r="700" ht="30.75" customHeight="1" spans="1:8">
      <c r="A700" s="198"/>
      <c r="B700" s="199"/>
      <c r="C700" s="200" t="s">
        <v>816</v>
      </c>
      <c r="D700" s="199" t="s">
        <v>817</v>
      </c>
      <c r="E700" s="201"/>
      <c r="F700" s="202"/>
      <c r="G700" s="203"/>
      <c r="H700" s="204">
        <f>ROUND(H698+H699,0)</f>
        <v>20945843</v>
      </c>
    </row>
    <row r="701" ht="54.75" customHeight="1" spans="1:8">
      <c r="A701" s="166">
        <v>15</v>
      </c>
      <c r="B701" s="167" t="s">
        <v>394</v>
      </c>
      <c r="C701" s="168" t="s">
        <v>395</v>
      </c>
      <c r="D701" s="167" t="s">
        <v>114</v>
      </c>
      <c r="E701" s="169">
        <v>1</v>
      </c>
      <c r="F701" s="170"/>
      <c r="G701" s="166"/>
      <c r="H701" s="170"/>
    </row>
    <row r="702" ht="16.5" customHeight="1" spans="1:8">
      <c r="A702" s="171"/>
      <c r="B702" s="172"/>
      <c r="C702" s="173" t="s">
        <v>789</v>
      </c>
      <c r="D702" s="172"/>
      <c r="E702" s="174"/>
      <c r="F702" s="175"/>
      <c r="G702" s="176"/>
      <c r="H702" s="175">
        <f>ROUND(H706,0)</f>
        <v>13943472</v>
      </c>
    </row>
    <row r="703" ht="16.5" customHeight="1" spans="2:8">
      <c r="B703" s="145" t="s">
        <v>575</v>
      </c>
      <c r="C703" s="146" t="s">
        <v>576</v>
      </c>
      <c r="D703" s="145" t="s">
        <v>518</v>
      </c>
      <c r="E703" s="177">
        <v>1020</v>
      </c>
      <c r="F703" s="148">
        <v>13300</v>
      </c>
      <c r="G703" s="144"/>
      <c r="H703" s="148">
        <f>ROUND(E703*F703,0)</f>
        <v>13566000</v>
      </c>
    </row>
    <row r="704" ht="16.5" customHeight="1" spans="2:8">
      <c r="B704" s="145" t="s">
        <v>521</v>
      </c>
      <c r="C704" s="146" t="s">
        <v>522</v>
      </c>
      <c r="D704" s="145" t="s">
        <v>518</v>
      </c>
      <c r="E704" s="177">
        <v>14.28</v>
      </c>
      <c r="F704" s="148">
        <v>20000</v>
      </c>
      <c r="G704" s="144"/>
      <c r="H704" s="148">
        <f>ROUND(E704*F704,0)</f>
        <v>285600</v>
      </c>
    </row>
    <row r="705" ht="16.5" customHeight="1" spans="2:8">
      <c r="B705" s="145" t="s">
        <v>569</v>
      </c>
      <c r="C705" s="146" t="s">
        <v>570</v>
      </c>
      <c r="D705" s="145" t="s">
        <v>518</v>
      </c>
      <c r="E705" s="177">
        <v>4.64</v>
      </c>
      <c r="F705" s="148">
        <v>19800</v>
      </c>
      <c r="G705" s="144"/>
      <c r="H705" s="148">
        <f>ROUND(E705*F705,0)</f>
        <v>91872</v>
      </c>
    </row>
    <row r="706" ht="16.5" customHeight="1" spans="2:8">
      <c r="B706" s="145"/>
      <c r="C706" s="146" t="s">
        <v>818</v>
      </c>
      <c r="D706" s="145"/>
      <c r="E706" s="205"/>
      <c r="F706" s="148"/>
      <c r="G706" s="144"/>
      <c r="H706" s="148">
        <f>ROUND(SUM(H703:H705),0)</f>
        <v>13943472</v>
      </c>
    </row>
    <row r="707" ht="16.5" customHeight="1" spans="1:8">
      <c r="A707" s="171"/>
      <c r="B707" s="172"/>
      <c r="C707" s="173" t="s">
        <v>787</v>
      </c>
      <c r="D707" s="172"/>
      <c r="E707" s="174"/>
      <c r="F707" s="175"/>
      <c r="G707" s="176"/>
      <c r="H707" s="175">
        <f>ROUND(H708,0)</f>
        <v>3008200</v>
      </c>
    </row>
    <row r="708" ht="16.5" customHeight="1" spans="2:8">
      <c r="B708" s="145" t="s">
        <v>596</v>
      </c>
      <c r="C708" s="146" t="s">
        <v>597</v>
      </c>
      <c r="D708" s="145" t="s">
        <v>594</v>
      </c>
      <c r="E708" s="177">
        <v>13.42</v>
      </c>
      <c r="F708" s="148">
        <v>224158</v>
      </c>
      <c r="G708" s="178">
        <v>1</v>
      </c>
      <c r="H708" s="148">
        <f>ROUND(E708*F708*G708,0)</f>
        <v>3008200</v>
      </c>
    </row>
    <row r="709" ht="16.5" customHeight="1" spans="1:8">
      <c r="A709" s="171"/>
      <c r="B709" s="172"/>
      <c r="C709" s="173" t="s">
        <v>788</v>
      </c>
      <c r="D709" s="172"/>
      <c r="E709" s="174"/>
      <c r="F709" s="175"/>
      <c r="G709" s="176"/>
      <c r="H709" s="175">
        <f>ROUND(H715,0)</f>
        <v>583447</v>
      </c>
    </row>
    <row r="710" ht="16.5" customHeight="1" spans="2:8">
      <c r="B710" s="145" t="s">
        <v>636</v>
      </c>
      <c r="C710" s="146" t="s">
        <v>637</v>
      </c>
      <c r="D710" s="145" t="s">
        <v>612</v>
      </c>
      <c r="E710" s="177">
        <v>1.12</v>
      </c>
      <c r="F710" s="148">
        <v>361135</v>
      </c>
      <c r="G710" s="178">
        <v>1</v>
      </c>
      <c r="H710" s="148">
        <f>ROUND(E710*F710*G710,0)</f>
        <v>404471</v>
      </c>
    </row>
    <row r="711" ht="16.5" customHeight="1" spans="2:8">
      <c r="B711" s="145" t="s">
        <v>621</v>
      </c>
      <c r="C711" s="146" t="s">
        <v>622</v>
      </c>
      <c r="D711" s="145" t="s">
        <v>612</v>
      </c>
      <c r="E711" s="177">
        <v>0.32</v>
      </c>
      <c r="F711" s="148">
        <v>240449</v>
      </c>
      <c r="G711" s="178">
        <v>1</v>
      </c>
      <c r="H711" s="148">
        <f>ROUND(E711*F711*G711,0)</f>
        <v>76944</v>
      </c>
    </row>
    <row r="712" ht="16.5" customHeight="1" spans="2:8">
      <c r="B712" s="145" t="s">
        <v>656</v>
      </c>
      <c r="C712" s="146" t="s">
        <v>657</v>
      </c>
      <c r="D712" s="145" t="s">
        <v>612</v>
      </c>
      <c r="E712" s="177">
        <v>0.025</v>
      </c>
      <c r="F712" s="148">
        <v>740827</v>
      </c>
      <c r="G712" s="178">
        <v>1</v>
      </c>
      <c r="H712" s="148">
        <f>ROUND(E712*F712*G712,0)</f>
        <v>18521</v>
      </c>
    </row>
    <row r="713" ht="16.5" customHeight="1" spans="2:8">
      <c r="B713" s="145" t="s">
        <v>614</v>
      </c>
      <c r="C713" s="146" t="s">
        <v>615</v>
      </c>
      <c r="D713" s="145" t="s">
        <v>612</v>
      </c>
      <c r="E713" s="177">
        <v>0.025</v>
      </c>
      <c r="F713" s="148">
        <v>2882825</v>
      </c>
      <c r="G713" s="178">
        <v>1</v>
      </c>
      <c r="H713" s="148">
        <f>ROUND(E713*F713*G713,0)</f>
        <v>72071</v>
      </c>
    </row>
    <row r="714" ht="16.5" customHeight="1" spans="2:8">
      <c r="B714" s="145" t="s">
        <v>790</v>
      </c>
      <c r="C714" s="146" t="s">
        <v>791</v>
      </c>
      <c r="D714" s="145" t="s">
        <v>792</v>
      </c>
      <c r="E714" s="177">
        <v>2</v>
      </c>
      <c r="F714" s="148">
        <f>ROUND(SUM(H710:H713)/100,0)</f>
        <v>5720</v>
      </c>
      <c r="G714" s="144"/>
      <c r="H714" s="148">
        <f>ROUND(E714*F714,0)</f>
        <v>11440</v>
      </c>
    </row>
    <row r="715" ht="16.5" customHeight="1" spans="2:8">
      <c r="B715" s="145"/>
      <c r="C715" s="146" t="s">
        <v>818</v>
      </c>
      <c r="D715" s="145"/>
      <c r="E715" s="205"/>
      <c r="F715" s="148"/>
      <c r="G715" s="144"/>
      <c r="H715" s="148">
        <f>ROUND(SUM(H710:H714),0)</f>
        <v>583447</v>
      </c>
    </row>
    <row r="716" ht="27.75" customHeight="1" spans="1:8">
      <c r="A716" s="179"/>
      <c r="B716" s="180"/>
      <c r="C716" s="181" t="s">
        <v>804</v>
      </c>
      <c r="D716" s="180" t="s">
        <v>805</v>
      </c>
      <c r="E716" s="182"/>
      <c r="F716" s="183"/>
      <c r="G716" s="184"/>
      <c r="H716" s="183">
        <f>ROUND(H702+H707+H709,0)</f>
        <v>17535119</v>
      </c>
    </row>
    <row r="717" ht="16.5" customHeight="1" spans="1:8">
      <c r="A717" s="185"/>
      <c r="B717" s="186"/>
      <c r="C717" s="187" t="s">
        <v>806</v>
      </c>
      <c r="D717" s="186" t="s">
        <v>807</v>
      </c>
      <c r="E717" s="188" t="s">
        <v>808</v>
      </c>
      <c r="F717" s="189"/>
      <c r="G717" s="190"/>
      <c r="H717" s="189">
        <v>999502</v>
      </c>
    </row>
    <row r="718" ht="25.5" customHeight="1" spans="1:8">
      <c r="A718" s="185"/>
      <c r="B718" s="186"/>
      <c r="C718" s="187" t="s">
        <v>809</v>
      </c>
      <c r="D718" s="186" t="s">
        <v>810</v>
      </c>
      <c r="E718" s="188" t="s">
        <v>811</v>
      </c>
      <c r="F718" s="189"/>
      <c r="G718" s="190"/>
      <c r="H718" s="189">
        <v>1019404</v>
      </c>
    </row>
    <row r="719" ht="28.5" customHeight="1" spans="1:8">
      <c r="A719" s="191"/>
      <c r="B719" s="192"/>
      <c r="C719" s="193" t="s">
        <v>812</v>
      </c>
      <c r="D719" s="192" t="s">
        <v>813</v>
      </c>
      <c r="E719" s="194"/>
      <c r="F719" s="195"/>
      <c r="G719" s="196"/>
      <c r="H719" s="195">
        <f>ROUND(H716+H717+H718,0)</f>
        <v>19554025</v>
      </c>
    </row>
    <row r="720" ht="25.5" customHeight="1" spans="1:8">
      <c r="A720" s="185"/>
      <c r="B720" s="186"/>
      <c r="C720" s="187" t="s">
        <v>814</v>
      </c>
      <c r="D720" s="186" t="s">
        <v>815</v>
      </c>
      <c r="E720" s="197">
        <v>0.1</v>
      </c>
      <c r="F720" s="189"/>
      <c r="G720" s="190"/>
      <c r="H720" s="189">
        <f>ROUND(E720*H719,0)</f>
        <v>1955403</v>
      </c>
    </row>
    <row r="721" ht="30.75" customHeight="1" spans="1:8">
      <c r="A721" s="198"/>
      <c r="B721" s="199"/>
      <c r="C721" s="200" t="s">
        <v>816</v>
      </c>
      <c r="D721" s="199" t="s">
        <v>817</v>
      </c>
      <c r="E721" s="201"/>
      <c r="F721" s="202"/>
      <c r="G721" s="203"/>
      <c r="H721" s="204">
        <f>ROUND(H719+H720,0)</f>
        <v>21509428</v>
      </c>
    </row>
    <row r="722" ht="67.5" customHeight="1" spans="1:8">
      <c r="A722" s="166">
        <v>16</v>
      </c>
      <c r="B722" s="167" t="s">
        <v>399</v>
      </c>
      <c r="C722" s="168" t="s">
        <v>400</v>
      </c>
      <c r="D722" s="167" t="s">
        <v>55</v>
      </c>
      <c r="E722" s="169">
        <v>1</v>
      </c>
      <c r="F722" s="170"/>
      <c r="G722" s="166"/>
      <c r="H722" s="170"/>
    </row>
    <row r="723" ht="16.5" customHeight="1" spans="1:8">
      <c r="A723" s="171"/>
      <c r="B723" s="172"/>
      <c r="C723" s="173" t="s">
        <v>789</v>
      </c>
      <c r="D723" s="172"/>
      <c r="E723" s="174"/>
      <c r="F723" s="175"/>
      <c r="G723" s="176"/>
      <c r="H723" s="175">
        <f>ROUND(H726,0)</f>
        <v>1127665</v>
      </c>
    </row>
    <row r="724" ht="29.25" customHeight="1" spans="2:8">
      <c r="B724" s="145" t="s">
        <v>156</v>
      </c>
      <c r="C724" s="146" t="s">
        <v>585</v>
      </c>
      <c r="D724" s="145" t="s">
        <v>55</v>
      </c>
      <c r="E724" s="177">
        <v>1.015</v>
      </c>
      <c r="F724" s="148">
        <v>1100000</v>
      </c>
      <c r="G724" s="144"/>
      <c r="H724" s="148">
        <f>ROUND(E724*F724,0)</f>
        <v>1116500</v>
      </c>
    </row>
    <row r="725" ht="16.5" customHeight="1" spans="2:8">
      <c r="B725" s="145" t="s">
        <v>793</v>
      </c>
      <c r="C725" s="146" t="s">
        <v>794</v>
      </c>
      <c r="D725" s="145" t="s">
        <v>792</v>
      </c>
      <c r="E725" s="177">
        <v>1</v>
      </c>
      <c r="F725" s="148">
        <f>ROUND(SUM(H724:H724)/100,0)</f>
        <v>11165</v>
      </c>
      <c r="G725" s="144"/>
      <c r="H725" s="148">
        <f>ROUND(E725*F725,0)</f>
        <v>11165</v>
      </c>
    </row>
    <row r="726" ht="16.5" customHeight="1" spans="2:8">
      <c r="B726" s="145"/>
      <c r="C726" s="146" t="s">
        <v>818</v>
      </c>
      <c r="D726" s="145"/>
      <c r="E726" s="205"/>
      <c r="F726" s="148"/>
      <c r="G726" s="144"/>
      <c r="H726" s="148">
        <f>ROUND(SUM(H724:H725),0)</f>
        <v>1127665</v>
      </c>
    </row>
    <row r="727" ht="16.5" customHeight="1" spans="1:8">
      <c r="A727" s="171"/>
      <c r="B727" s="172"/>
      <c r="C727" s="173" t="s">
        <v>787</v>
      </c>
      <c r="D727" s="172"/>
      <c r="E727" s="174"/>
      <c r="F727" s="175"/>
      <c r="G727" s="176"/>
      <c r="H727" s="175">
        <f>ROUND(H728,0)</f>
        <v>573844</v>
      </c>
    </row>
    <row r="728" ht="16.5" customHeight="1" spans="2:8">
      <c r="B728" s="145" t="s">
        <v>596</v>
      </c>
      <c r="C728" s="146" t="s">
        <v>597</v>
      </c>
      <c r="D728" s="145" t="s">
        <v>594</v>
      </c>
      <c r="E728" s="177">
        <v>2.56</v>
      </c>
      <c r="F728" s="148">
        <v>224158</v>
      </c>
      <c r="G728" s="178">
        <v>1</v>
      </c>
      <c r="H728" s="148">
        <f>ROUND(E728*F728*G728,0)</f>
        <v>573844</v>
      </c>
    </row>
    <row r="729" ht="16.5" customHeight="1" spans="1:8">
      <c r="A729" s="171"/>
      <c r="B729" s="172"/>
      <c r="C729" s="173" t="s">
        <v>788</v>
      </c>
      <c r="D729" s="172"/>
      <c r="E729" s="174"/>
      <c r="F729" s="175"/>
      <c r="G729" s="176"/>
      <c r="H729" s="175">
        <f>ROUND(H733,0)</f>
        <v>177181</v>
      </c>
    </row>
    <row r="730" ht="16.5" customHeight="1" spans="2:8">
      <c r="B730" s="145" t="s">
        <v>660</v>
      </c>
      <c r="C730" s="146" t="s">
        <v>661</v>
      </c>
      <c r="D730" s="145" t="s">
        <v>612</v>
      </c>
      <c r="E730" s="177">
        <v>0.033</v>
      </c>
      <c r="F730" s="148">
        <v>4019344</v>
      </c>
      <c r="G730" s="178">
        <v>1</v>
      </c>
      <c r="H730" s="148">
        <f>ROUND(E730*F730*G730,0)</f>
        <v>132638</v>
      </c>
    </row>
    <row r="731" ht="16.5" customHeight="1" spans="2:8">
      <c r="B731" s="145" t="s">
        <v>633</v>
      </c>
      <c r="C731" s="146" t="s">
        <v>634</v>
      </c>
      <c r="D731" s="145" t="s">
        <v>612</v>
      </c>
      <c r="E731" s="177">
        <v>0.18</v>
      </c>
      <c r="F731" s="148">
        <v>237717</v>
      </c>
      <c r="G731" s="178">
        <v>1</v>
      </c>
      <c r="H731" s="148">
        <f>ROUND(E731*F731*G731,0)</f>
        <v>42789</v>
      </c>
    </row>
    <row r="732" ht="16.5" customHeight="1" spans="2:8">
      <c r="B732" s="145" t="s">
        <v>790</v>
      </c>
      <c r="C732" s="146" t="s">
        <v>791</v>
      </c>
      <c r="D732" s="145" t="s">
        <v>792</v>
      </c>
      <c r="E732" s="177">
        <v>1</v>
      </c>
      <c r="F732" s="148">
        <f>ROUND(SUM(H730:H731)/100,0)</f>
        <v>1754</v>
      </c>
      <c r="G732" s="144"/>
      <c r="H732" s="148">
        <f>ROUND(E732*F732,0)</f>
        <v>1754</v>
      </c>
    </row>
    <row r="733" ht="16.5" customHeight="1" spans="2:8">
      <c r="B733" s="145"/>
      <c r="C733" s="146" t="s">
        <v>818</v>
      </c>
      <c r="D733" s="145"/>
      <c r="E733" s="205"/>
      <c r="F733" s="148"/>
      <c r="G733" s="144"/>
      <c r="H733" s="148">
        <f>ROUND(SUM(H730:H732),0)</f>
        <v>177181</v>
      </c>
    </row>
    <row r="734" ht="27.75" customHeight="1" spans="1:8">
      <c r="A734" s="179"/>
      <c r="B734" s="180"/>
      <c r="C734" s="181" t="s">
        <v>804</v>
      </c>
      <c r="D734" s="180" t="s">
        <v>805</v>
      </c>
      <c r="E734" s="182"/>
      <c r="F734" s="183"/>
      <c r="G734" s="184"/>
      <c r="H734" s="183">
        <f>ROUND(H723+H727+H729,0)</f>
        <v>1878690</v>
      </c>
    </row>
    <row r="735" ht="16.5" customHeight="1" spans="1:8">
      <c r="A735" s="185"/>
      <c r="B735" s="186"/>
      <c r="C735" s="187" t="s">
        <v>806</v>
      </c>
      <c r="D735" s="186" t="s">
        <v>807</v>
      </c>
      <c r="E735" s="188" t="s">
        <v>808</v>
      </c>
      <c r="F735" s="189"/>
      <c r="G735" s="190"/>
      <c r="H735" s="189">
        <v>107085</v>
      </c>
    </row>
    <row r="736" ht="25.5" customHeight="1" spans="1:8">
      <c r="A736" s="185"/>
      <c r="B736" s="186"/>
      <c r="C736" s="187" t="s">
        <v>809</v>
      </c>
      <c r="D736" s="186" t="s">
        <v>810</v>
      </c>
      <c r="E736" s="188" t="s">
        <v>811</v>
      </c>
      <c r="F736" s="189"/>
      <c r="G736" s="190"/>
      <c r="H736" s="189">
        <v>109218</v>
      </c>
    </row>
    <row r="737" ht="28.5" customHeight="1" spans="1:8">
      <c r="A737" s="191"/>
      <c r="B737" s="192"/>
      <c r="C737" s="193" t="s">
        <v>812</v>
      </c>
      <c r="D737" s="192" t="s">
        <v>813</v>
      </c>
      <c r="E737" s="194"/>
      <c r="F737" s="195"/>
      <c r="G737" s="196"/>
      <c r="H737" s="195">
        <f>ROUND(H734+H735+H736,0)</f>
        <v>2094993</v>
      </c>
    </row>
    <row r="738" ht="25.5" customHeight="1" spans="1:8">
      <c r="A738" s="185"/>
      <c r="B738" s="186"/>
      <c r="C738" s="187" t="s">
        <v>814</v>
      </c>
      <c r="D738" s="186" t="s">
        <v>815</v>
      </c>
      <c r="E738" s="197">
        <v>0.1</v>
      </c>
      <c r="F738" s="189"/>
      <c r="G738" s="190"/>
      <c r="H738" s="189">
        <f>ROUND(E738*H737,0)</f>
        <v>209499</v>
      </c>
    </row>
    <row r="739" ht="30.75" customHeight="1" spans="1:8">
      <c r="A739" s="198"/>
      <c r="B739" s="199"/>
      <c r="C739" s="200" t="s">
        <v>816</v>
      </c>
      <c r="D739" s="199" t="s">
        <v>817</v>
      </c>
      <c r="E739" s="201"/>
      <c r="F739" s="202"/>
      <c r="G739" s="203"/>
      <c r="H739" s="204">
        <f>ROUND(H737+H738,0)</f>
        <v>2304492</v>
      </c>
    </row>
    <row r="740" ht="54.75" customHeight="1" spans="1:8">
      <c r="A740" s="166">
        <v>17</v>
      </c>
      <c r="B740" s="167" t="s">
        <v>399</v>
      </c>
      <c r="C740" s="168" t="s">
        <v>403</v>
      </c>
      <c r="D740" s="167" t="s">
        <v>55</v>
      </c>
      <c r="E740" s="169">
        <v>1</v>
      </c>
      <c r="F740" s="170"/>
      <c r="G740" s="166"/>
      <c r="H740" s="170"/>
    </row>
    <row r="741" ht="16.5" customHeight="1" spans="1:8">
      <c r="A741" s="171"/>
      <c r="B741" s="172"/>
      <c r="C741" s="173" t="s">
        <v>789</v>
      </c>
      <c r="D741" s="172"/>
      <c r="E741" s="174"/>
      <c r="F741" s="175"/>
      <c r="G741" s="176"/>
      <c r="H741" s="175">
        <f>ROUND(H744,0)</f>
        <v>1127665</v>
      </c>
    </row>
    <row r="742" ht="29.25" customHeight="1" spans="2:8">
      <c r="B742" s="145" t="s">
        <v>156</v>
      </c>
      <c r="C742" s="146" t="s">
        <v>585</v>
      </c>
      <c r="D742" s="145" t="s">
        <v>55</v>
      </c>
      <c r="E742" s="177">
        <v>1.015</v>
      </c>
      <c r="F742" s="148">
        <v>1100000</v>
      </c>
      <c r="G742" s="144"/>
      <c r="H742" s="148">
        <f>ROUND(E742*F742,0)</f>
        <v>1116500</v>
      </c>
    </row>
    <row r="743" ht="16.5" customHeight="1" spans="2:8">
      <c r="B743" s="145" t="s">
        <v>793</v>
      </c>
      <c r="C743" s="146" t="s">
        <v>794</v>
      </c>
      <c r="D743" s="145" t="s">
        <v>792</v>
      </c>
      <c r="E743" s="177">
        <v>1</v>
      </c>
      <c r="F743" s="148">
        <f>ROUND(SUM(H742:H742)/100,0)</f>
        <v>11165</v>
      </c>
      <c r="G743" s="144"/>
      <c r="H743" s="148">
        <f>ROUND(E743*F743,0)</f>
        <v>11165</v>
      </c>
    </row>
    <row r="744" ht="16.5" customHeight="1" spans="2:8">
      <c r="B744" s="145"/>
      <c r="C744" s="146" t="s">
        <v>818</v>
      </c>
      <c r="D744" s="145"/>
      <c r="E744" s="205"/>
      <c r="F744" s="148"/>
      <c r="G744" s="144"/>
      <c r="H744" s="148">
        <f>ROUND(SUM(H742:H743),0)</f>
        <v>1127665</v>
      </c>
    </row>
    <row r="745" ht="16.5" customHeight="1" spans="1:8">
      <c r="A745" s="171"/>
      <c r="B745" s="172"/>
      <c r="C745" s="173" t="s">
        <v>787</v>
      </c>
      <c r="D745" s="172"/>
      <c r="E745" s="174"/>
      <c r="F745" s="175"/>
      <c r="G745" s="176"/>
      <c r="H745" s="175">
        <f>ROUND(H746,0)</f>
        <v>573844</v>
      </c>
    </row>
    <row r="746" ht="16.5" customHeight="1" spans="2:8">
      <c r="B746" s="145" t="s">
        <v>596</v>
      </c>
      <c r="C746" s="146" t="s">
        <v>597</v>
      </c>
      <c r="D746" s="145" t="s">
        <v>594</v>
      </c>
      <c r="E746" s="177">
        <v>2.56</v>
      </c>
      <c r="F746" s="148">
        <v>224158</v>
      </c>
      <c r="G746" s="178">
        <v>1</v>
      </c>
      <c r="H746" s="148">
        <f>ROUND(E746*F746*G746,0)</f>
        <v>573844</v>
      </c>
    </row>
    <row r="747" ht="16.5" customHeight="1" spans="1:8">
      <c r="A747" s="171"/>
      <c r="B747" s="172"/>
      <c r="C747" s="173" t="s">
        <v>788</v>
      </c>
      <c r="D747" s="172"/>
      <c r="E747" s="174"/>
      <c r="F747" s="175"/>
      <c r="G747" s="176"/>
      <c r="H747" s="175">
        <f>ROUND(H751,0)</f>
        <v>177181</v>
      </c>
    </row>
    <row r="748" ht="16.5" customHeight="1" spans="2:8">
      <c r="B748" s="145" t="s">
        <v>660</v>
      </c>
      <c r="C748" s="146" t="s">
        <v>661</v>
      </c>
      <c r="D748" s="145" t="s">
        <v>612</v>
      </c>
      <c r="E748" s="177">
        <v>0.033</v>
      </c>
      <c r="F748" s="148">
        <v>4019344</v>
      </c>
      <c r="G748" s="178">
        <v>1</v>
      </c>
      <c r="H748" s="148">
        <f>ROUND(E748*F748*G748,0)</f>
        <v>132638</v>
      </c>
    </row>
    <row r="749" ht="16.5" customHeight="1" spans="2:8">
      <c r="B749" s="145" t="s">
        <v>633</v>
      </c>
      <c r="C749" s="146" t="s">
        <v>634</v>
      </c>
      <c r="D749" s="145" t="s">
        <v>612</v>
      </c>
      <c r="E749" s="177">
        <v>0.18</v>
      </c>
      <c r="F749" s="148">
        <v>237717</v>
      </c>
      <c r="G749" s="178">
        <v>1</v>
      </c>
      <c r="H749" s="148">
        <f>ROUND(E749*F749*G749,0)</f>
        <v>42789</v>
      </c>
    </row>
    <row r="750" ht="16.5" customHeight="1" spans="2:8">
      <c r="B750" s="145" t="s">
        <v>790</v>
      </c>
      <c r="C750" s="146" t="s">
        <v>791</v>
      </c>
      <c r="D750" s="145" t="s">
        <v>792</v>
      </c>
      <c r="E750" s="177">
        <v>1</v>
      </c>
      <c r="F750" s="148">
        <f>ROUND(SUM(H748:H749)/100,0)</f>
        <v>1754</v>
      </c>
      <c r="G750" s="144"/>
      <c r="H750" s="148">
        <f>ROUND(E750*F750,0)</f>
        <v>1754</v>
      </c>
    </row>
    <row r="751" ht="16.5" customHeight="1" spans="2:8">
      <c r="B751" s="145"/>
      <c r="C751" s="146" t="s">
        <v>818</v>
      </c>
      <c r="D751" s="145"/>
      <c r="E751" s="205"/>
      <c r="F751" s="148"/>
      <c r="G751" s="144"/>
      <c r="H751" s="148">
        <f>ROUND(SUM(H748:H750),0)</f>
        <v>177181</v>
      </c>
    </row>
    <row r="752" ht="27.75" customHeight="1" spans="1:8">
      <c r="A752" s="179"/>
      <c r="B752" s="180"/>
      <c r="C752" s="181" t="s">
        <v>804</v>
      </c>
      <c r="D752" s="180" t="s">
        <v>805</v>
      </c>
      <c r="E752" s="182"/>
      <c r="F752" s="183"/>
      <c r="G752" s="184"/>
      <c r="H752" s="183">
        <f>ROUND(H741+H745+H747,0)</f>
        <v>1878690</v>
      </c>
    </row>
    <row r="753" ht="16.5" customHeight="1" spans="1:8">
      <c r="A753" s="185"/>
      <c r="B753" s="186"/>
      <c r="C753" s="187" t="s">
        <v>806</v>
      </c>
      <c r="D753" s="186" t="s">
        <v>807</v>
      </c>
      <c r="E753" s="188" t="s">
        <v>808</v>
      </c>
      <c r="F753" s="189"/>
      <c r="G753" s="190"/>
      <c r="H753" s="189">
        <v>107085</v>
      </c>
    </row>
    <row r="754" ht="25.5" customHeight="1" spans="1:8">
      <c r="A754" s="185"/>
      <c r="B754" s="186"/>
      <c r="C754" s="187" t="s">
        <v>809</v>
      </c>
      <c r="D754" s="186" t="s">
        <v>810</v>
      </c>
      <c r="E754" s="188" t="s">
        <v>811</v>
      </c>
      <c r="F754" s="189"/>
      <c r="G754" s="190"/>
      <c r="H754" s="189">
        <v>109218</v>
      </c>
    </row>
    <row r="755" ht="28.5" customHeight="1" spans="1:8">
      <c r="A755" s="191"/>
      <c r="B755" s="192"/>
      <c r="C755" s="193" t="s">
        <v>812</v>
      </c>
      <c r="D755" s="192" t="s">
        <v>813</v>
      </c>
      <c r="E755" s="194"/>
      <c r="F755" s="195"/>
      <c r="G755" s="196"/>
      <c r="H755" s="195">
        <f>ROUND(H752+H753+H754,0)</f>
        <v>2094993</v>
      </c>
    </row>
    <row r="756" ht="25.5" customHeight="1" spans="1:8">
      <c r="A756" s="185"/>
      <c r="B756" s="186"/>
      <c r="C756" s="187" t="s">
        <v>814</v>
      </c>
      <c r="D756" s="186" t="s">
        <v>815</v>
      </c>
      <c r="E756" s="197">
        <v>0.1</v>
      </c>
      <c r="F756" s="189"/>
      <c r="G756" s="190"/>
      <c r="H756" s="189">
        <f>ROUND(E756*H755,0)</f>
        <v>209499</v>
      </c>
    </row>
    <row r="757" ht="30.75" customHeight="1" spans="1:8">
      <c r="A757" s="198"/>
      <c r="B757" s="199"/>
      <c r="C757" s="200" t="s">
        <v>816</v>
      </c>
      <c r="D757" s="199" t="s">
        <v>817</v>
      </c>
      <c r="E757" s="201"/>
      <c r="F757" s="202"/>
      <c r="G757" s="203"/>
      <c r="H757" s="204">
        <f>ROUND(H755+H756,0)</f>
        <v>2304492</v>
      </c>
    </row>
    <row r="758" ht="54.75" customHeight="1" spans="1:8">
      <c r="A758" s="166">
        <v>18</v>
      </c>
      <c r="B758" s="167" t="s">
        <v>404</v>
      </c>
      <c r="C758" s="168" t="s">
        <v>405</v>
      </c>
      <c r="D758" s="167" t="s">
        <v>55</v>
      </c>
      <c r="E758" s="169">
        <v>1</v>
      </c>
      <c r="F758" s="170"/>
      <c r="G758" s="166"/>
      <c r="H758" s="170"/>
    </row>
    <row r="759" ht="16.5" customHeight="1" spans="1:8">
      <c r="A759" s="171"/>
      <c r="B759" s="172"/>
      <c r="C759" s="173" t="s">
        <v>789</v>
      </c>
      <c r="D759" s="172"/>
      <c r="E759" s="174"/>
      <c r="F759" s="175"/>
      <c r="G759" s="176"/>
      <c r="H759" s="175">
        <f>ROUND(H765,0)</f>
        <v>1245515</v>
      </c>
    </row>
    <row r="760" ht="29.25" customHeight="1" spans="2:8">
      <c r="B760" s="145" t="s">
        <v>156</v>
      </c>
      <c r="C760" s="146" t="s">
        <v>585</v>
      </c>
      <c r="D760" s="145" t="s">
        <v>55</v>
      </c>
      <c r="E760" s="177">
        <v>1.015</v>
      </c>
      <c r="F760" s="148">
        <v>1100000</v>
      </c>
      <c r="G760" s="144"/>
      <c r="H760" s="148">
        <f>ROUND(E760*F760,0)</f>
        <v>1116500</v>
      </c>
    </row>
    <row r="761" ht="16.5" customHeight="1" spans="2:8">
      <c r="B761" s="145" t="s">
        <v>560</v>
      </c>
      <c r="C761" s="146" t="s">
        <v>561</v>
      </c>
      <c r="D761" s="145" t="s">
        <v>55</v>
      </c>
      <c r="E761" s="177">
        <v>0.049</v>
      </c>
      <c r="F761" s="148">
        <v>2000000</v>
      </c>
      <c r="G761" s="144"/>
      <c r="H761" s="148">
        <f>ROUND(E761*F761,0)</f>
        <v>98000</v>
      </c>
    </row>
    <row r="762" ht="16.5" customHeight="1" spans="2:8">
      <c r="B762" s="145" t="s">
        <v>536</v>
      </c>
      <c r="C762" s="146" t="s">
        <v>537</v>
      </c>
      <c r="D762" s="145" t="s">
        <v>518</v>
      </c>
      <c r="E762" s="177">
        <v>0.199</v>
      </c>
      <c r="F762" s="148">
        <v>20000</v>
      </c>
      <c r="G762" s="144"/>
      <c r="H762" s="148">
        <f>ROUND(E762*F762,0)</f>
        <v>3980</v>
      </c>
    </row>
    <row r="763" ht="16.5" customHeight="1" spans="2:8">
      <c r="B763" s="145" t="s">
        <v>539</v>
      </c>
      <c r="C763" s="146" t="s">
        <v>540</v>
      </c>
      <c r="D763" s="145" t="s">
        <v>450</v>
      </c>
      <c r="E763" s="177">
        <v>0.871</v>
      </c>
      <c r="F763" s="148">
        <v>3000</v>
      </c>
      <c r="G763" s="144"/>
      <c r="H763" s="148">
        <f>ROUND(E763*F763,0)</f>
        <v>2613</v>
      </c>
    </row>
    <row r="764" ht="16.5" customHeight="1" spans="2:8">
      <c r="B764" s="145" t="s">
        <v>793</v>
      </c>
      <c r="C764" s="146" t="s">
        <v>794</v>
      </c>
      <c r="D764" s="145" t="s">
        <v>792</v>
      </c>
      <c r="E764" s="177">
        <v>2</v>
      </c>
      <c r="F764" s="148">
        <f>ROUND(SUM(H760:H763)/100,0)</f>
        <v>12211</v>
      </c>
      <c r="G764" s="144"/>
      <c r="H764" s="148">
        <f>ROUND(E764*F764,0)</f>
        <v>24422</v>
      </c>
    </row>
    <row r="765" ht="16.5" customHeight="1" spans="2:8">
      <c r="B765" s="145"/>
      <c r="C765" s="146" t="s">
        <v>818</v>
      </c>
      <c r="D765" s="145"/>
      <c r="E765" s="205"/>
      <c r="F765" s="148"/>
      <c r="G765" s="144"/>
      <c r="H765" s="148">
        <f>ROUND(SUM(H760:H764),0)</f>
        <v>1245515</v>
      </c>
    </row>
    <row r="766" ht="16.5" customHeight="1" spans="1:8">
      <c r="A766" s="171"/>
      <c r="B766" s="172"/>
      <c r="C766" s="173" t="s">
        <v>787</v>
      </c>
      <c r="D766" s="172"/>
      <c r="E766" s="174"/>
      <c r="F766" s="175"/>
      <c r="G766" s="176"/>
      <c r="H766" s="175">
        <f>ROUND(H767,0)</f>
        <v>721789</v>
      </c>
    </row>
    <row r="767" ht="16.5" customHeight="1" spans="2:8">
      <c r="B767" s="145" t="s">
        <v>596</v>
      </c>
      <c r="C767" s="146" t="s">
        <v>597</v>
      </c>
      <c r="D767" s="145" t="s">
        <v>594</v>
      </c>
      <c r="E767" s="177">
        <v>3.22</v>
      </c>
      <c r="F767" s="148">
        <v>224158</v>
      </c>
      <c r="G767" s="178">
        <v>1</v>
      </c>
      <c r="H767" s="148">
        <f>ROUND(E767*F767*G767,0)</f>
        <v>721789</v>
      </c>
    </row>
    <row r="768" ht="16.5" customHeight="1" spans="1:8">
      <c r="A768" s="171"/>
      <c r="B768" s="172"/>
      <c r="C768" s="173" t="s">
        <v>788</v>
      </c>
      <c r="D768" s="172"/>
      <c r="E768" s="174"/>
      <c r="F768" s="175"/>
      <c r="G768" s="176"/>
      <c r="H768" s="175">
        <f>ROUND(H772,0)</f>
        <v>177181</v>
      </c>
    </row>
    <row r="769" ht="16.5" customHeight="1" spans="2:8">
      <c r="B769" s="145" t="s">
        <v>660</v>
      </c>
      <c r="C769" s="146" t="s">
        <v>661</v>
      </c>
      <c r="D769" s="145" t="s">
        <v>612</v>
      </c>
      <c r="E769" s="177">
        <v>0.033</v>
      </c>
      <c r="F769" s="148">
        <v>4019344</v>
      </c>
      <c r="G769" s="178">
        <v>1</v>
      </c>
      <c r="H769" s="148">
        <f>ROUND(E769*F769*G769,0)</f>
        <v>132638</v>
      </c>
    </row>
    <row r="770" ht="16.5" customHeight="1" spans="2:8">
      <c r="B770" s="145" t="s">
        <v>633</v>
      </c>
      <c r="C770" s="146" t="s">
        <v>634</v>
      </c>
      <c r="D770" s="145" t="s">
        <v>612</v>
      </c>
      <c r="E770" s="177">
        <v>0.18</v>
      </c>
      <c r="F770" s="148">
        <v>237717</v>
      </c>
      <c r="G770" s="178">
        <v>1</v>
      </c>
      <c r="H770" s="148">
        <f>ROUND(E770*F770*G770,0)</f>
        <v>42789</v>
      </c>
    </row>
    <row r="771" ht="16.5" customHeight="1" spans="2:8">
      <c r="B771" s="145" t="s">
        <v>790</v>
      </c>
      <c r="C771" s="146" t="s">
        <v>791</v>
      </c>
      <c r="D771" s="145" t="s">
        <v>792</v>
      </c>
      <c r="E771" s="177">
        <v>1</v>
      </c>
      <c r="F771" s="148">
        <f>ROUND(SUM(H769:H770)/100,0)</f>
        <v>1754</v>
      </c>
      <c r="G771" s="144"/>
      <c r="H771" s="148">
        <f>ROUND(E771*F771,0)</f>
        <v>1754</v>
      </c>
    </row>
    <row r="772" ht="16.5" customHeight="1" spans="2:8">
      <c r="B772" s="145"/>
      <c r="C772" s="146" t="s">
        <v>818</v>
      </c>
      <c r="D772" s="145"/>
      <c r="E772" s="205"/>
      <c r="F772" s="148"/>
      <c r="G772" s="144"/>
      <c r="H772" s="148">
        <f>ROUND(SUM(H769:H771),0)</f>
        <v>177181</v>
      </c>
    </row>
    <row r="773" ht="27.75" customHeight="1" spans="1:8">
      <c r="A773" s="179"/>
      <c r="B773" s="180"/>
      <c r="C773" s="181" t="s">
        <v>804</v>
      </c>
      <c r="D773" s="180" t="s">
        <v>805</v>
      </c>
      <c r="E773" s="182"/>
      <c r="F773" s="183"/>
      <c r="G773" s="184"/>
      <c r="H773" s="183">
        <f>ROUND(H759+H766+H768,0)</f>
        <v>2144485</v>
      </c>
    </row>
    <row r="774" ht="16.5" customHeight="1" spans="1:8">
      <c r="A774" s="185"/>
      <c r="B774" s="186"/>
      <c r="C774" s="187" t="s">
        <v>806</v>
      </c>
      <c r="D774" s="186" t="s">
        <v>807</v>
      </c>
      <c r="E774" s="188" t="s">
        <v>808</v>
      </c>
      <c r="F774" s="189"/>
      <c r="G774" s="190"/>
      <c r="H774" s="189">
        <v>122236</v>
      </c>
    </row>
    <row r="775" ht="25.5" customHeight="1" spans="1:8">
      <c r="A775" s="185"/>
      <c r="B775" s="186"/>
      <c r="C775" s="187" t="s">
        <v>809</v>
      </c>
      <c r="D775" s="186" t="s">
        <v>810</v>
      </c>
      <c r="E775" s="188" t="s">
        <v>811</v>
      </c>
      <c r="F775" s="189"/>
      <c r="G775" s="190"/>
      <c r="H775" s="189">
        <v>124670</v>
      </c>
    </row>
    <row r="776" ht="28.5" customHeight="1" spans="1:8">
      <c r="A776" s="191"/>
      <c r="B776" s="192"/>
      <c r="C776" s="193" t="s">
        <v>812</v>
      </c>
      <c r="D776" s="192" t="s">
        <v>813</v>
      </c>
      <c r="E776" s="194"/>
      <c r="F776" s="195"/>
      <c r="G776" s="196"/>
      <c r="H776" s="195">
        <f>ROUND(H773+H774+H775,0)</f>
        <v>2391391</v>
      </c>
    </row>
    <row r="777" ht="25.5" customHeight="1" spans="1:8">
      <c r="A777" s="185"/>
      <c r="B777" s="186"/>
      <c r="C777" s="187" t="s">
        <v>814</v>
      </c>
      <c r="D777" s="186" t="s">
        <v>815</v>
      </c>
      <c r="E777" s="197">
        <v>0.1</v>
      </c>
      <c r="F777" s="189"/>
      <c r="G777" s="190"/>
      <c r="H777" s="189">
        <f>ROUND(E777*H776,0)</f>
        <v>239139</v>
      </c>
    </row>
    <row r="778" ht="30.75" customHeight="1" spans="1:8">
      <c r="A778" s="198"/>
      <c r="B778" s="199"/>
      <c r="C778" s="200" t="s">
        <v>816</v>
      </c>
      <c r="D778" s="199" t="s">
        <v>817</v>
      </c>
      <c r="E778" s="201"/>
      <c r="F778" s="202"/>
      <c r="G778" s="203"/>
      <c r="H778" s="204">
        <f>ROUND(H776+H777,0)</f>
        <v>2630530</v>
      </c>
    </row>
    <row r="779" ht="79.5" customHeight="1" spans="1:8">
      <c r="A779" s="166">
        <v>19</v>
      </c>
      <c r="B779" s="167" t="s">
        <v>252</v>
      </c>
      <c r="C779" s="168" t="s">
        <v>408</v>
      </c>
      <c r="D779" s="167" t="s">
        <v>107</v>
      </c>
      <c r="E779" s="169">
        <v>1</v>
      </c>
      <c r="F779" s="170"/>
      <c r="G779" s="166"/>
      <c r="H779" s="170"/>
    </row>
    <row r="780" ht="16.5" customHeight="1" spans="1:8">
      <c r="A780" s="171"/>
      <c r="B780" s="172"/>
      <c r="C780" s="173" t="s">
        <v>789</v>
      </c>
      <c r="D780" s="172"/>
      <c r="E780" s="174"/>
      <c r="F780" s="175"/>
      <c r="G780" s="176"/>
      <c r="H780" s="175">
        <f>ROUND(H785,0)</f>
        <v>4920355</v>
      </c>
    </row>
    <row r="781" ht="16.5" customHeight="1" spans="2:8">
      <c r="B781" s="145" t="s">
        <v>581</v>
      </c>
      <c r="C781" s="146" t="s">
        <v>582</v>
      </c>
      <c r="D781" s="145" t="s">
        <v>583</v>
      </c>
      <c r="E781" s="177">
        <v>15</v>
      </c>
      <c r="F781" s="148">
        <v>200000</v>
      </c>
      <c r="G781" s="144"/>
      <c r="H781" s="148">
        <f>ROUND(E781*F781,0)</f>
        <v>3000000</v>
      </c>
    </row>
    <row r="782" ht="16.5" customHeight="1" spans="2:8">
      <c r="B782" s="145" t="s">
        <v>562</v>
      </c>
      <c r="C782" s="146" t="s">
        <v>563</v>
      </c>
      <c r="D782" s="145" t="s">
        <v>518</v>
      </c>
      <c r="E782" s="177">
        <v>15.05</v>
      </c>
      <c r="F782" s="148">
        <v>69000</v>
      </c>
      <c r="G782" s="144"/>
      <c r="H782" s="148">
        <f>ROUND(E782*F782,0)</f>
        <v>1038450</v>
      </c>
    </row>
    <row r="783" ht="16.5" customHeight="1" spans="2:8">
      <c r="B783" s="145" t="s">
        <v>516</v>
      </c>
      <c r="C783" s="146" t="s">
        <v>517</v>
      </c>
      <c r="D783" s="145" t="s">
        <v>518</v>
      </c>
      <c r="E783" s="177">
        <v>40</v>
      </c>
      <c r="F783" s="148">
        <v>16190</v>
      </c>
      <c r="G783" s="144"/>
      <c r="H783" s="148">
        <f>ROUND(E783*F783,0)</f>
        <v>647600</v>
      </c>
    </row>
    <row r="784" ht="16.5" customHeight="1" spans="2:8">
      <c r="B784" s="145" t="s">
        <v>793</v>
      </c>
      <c r="C784" s="146" t="s">
        <v>794</v>
      </c>
      <c r="D784" s="145" t="s">
        <v>792</v>
      </c>
      <c r="E784" s="177">
        <v>5</v>
      </c>
      <c r="F784" s="148">
        <f>ROUND(SUM(H781:H783)/100,0)</f>
        <v>46861</v>
      </c>
      <c r="G784" s="144"/>
      <c r="H784" s="148">
        <f>ROUND(E784*F784,0)</f>
        <v>234305</v>
      </c>
    </row>
    <row r="785" ht="16.5" customHeight="1" spans="2:8">
      <c r="B785" s="145"/>
      <c r="C785" s="146" t="s">
        <v>818</v>
      </c>
      <c r="D785" s="145"/>
      <c r="E785" s="205"/>
      <c r="F785" s="148"/>
      <c r="G785" s="144"/>
      <c r="H785" s="148">
        <f>ROUND(SUM(H781:H784),0)</f>
        <v>4920355</v>
      </c>
    </row>
    <row r="786" ht="16.5" customHeight="1" spans="1:8">
      <c r="A786" s="171"/>
      <c r="B786" s="172"/>
      <c r="C786" s="173" t="s">
        <v>787</v>
      </c>
      <c r="D786" s="172"/>
      <c r="E786" s="174"/>
      <c r="F786" s="175"/>
      <c r="G786" s="176"/>
      <c r="H786" s="175">
        <f>ROUND(H787,0)</f>
        <v>5737854</v>
      </c>
    </row>
    <row r="787" ht="16.5" customHeight="1" spans="2:8">
      <c r="B787" s="145" t="s">
        <v>602</v>
      </c>
      <c r="C787" s="146" t="s">
        <v>603</v>
      </c>
      <c r="D787" s="145" t="s">
        <v>594</v>
      </c>
      <c r="E787" s="177">
        <v>23.64</v>
      </c>
      <c r="F787" s="148">
        <v>242718</v>
      </c>
      <c r="G787" s="178">
        <v>1</v>
      </c>
      <c r="H787" s="148">
        <f>ROUND(E787*F787*G787,0)</f>
        <v>5737854</v>
      </c>
    </row>
    <row r="788" ht="16.5" customHeight="1" spans="1:8">
      <c r="A788" s="171"/>
      <c r="B788" s="172"/>
      <c r="C788" s="173" t="s">
        <v>788</v>
      </c>
      <c r="D788" s="172"/>
      <c r="E788" s="174"/>
      <c r="F788" s="175"/>
      <c r="G788" s="176"/>
      <c r="H788" s="175">
        <f>ROUND(H792,0)</f>
        <v>924031</v>
      </c>
    </row>
    <row r="789" ht="16.5" customHeight="1" spans="2:8">
      <c r="B789" s="145" t="s">
        <v>659</v>
      </c>
      <c r="C789" s="146" t="s">
        <v>657</v>
      </c>
      <c r="D789" s="145" t="s">
        <v>612</v>
      </c>
      <c r="E789" s="177">
        <v>0.25</v>
      </c>
      <c r="F789" s="148">
        <v>740827</v>
      </c>
      <c r="G789" s="178">
        <v>1</v>
      </c>
      <c r="H789" s="148">
        <f>ROUND(E789*F789*G789,0)</f>
        <v>185207</v>
      </c>
    </row>
    <row r="790" ht="16.5" customHeight="1" spans="2:8">
      <c r="B790" s="145" t="s">
        <v>614</v>
      </c>
      <c r="C790" s="146" t="s">
        <v>615</v>
      </c>
      <c r="D790" s="145" t="s">
        <v>612</v>
      </c>
      <c r="E790" s="177">
        <v>0.25</v>
      </c>
      <c r="F790" s="148">
        <v>2882825</v>
      </c>
      <c r="G790" s="178">
        <v>1</v>
      </c>
      <c r="H790" s="148">
        <f>ROUND(E790*F790*G790,0)</f>
        <v>720706</v>
      </c>
    </row>
    <row r="791" ht="16.5" customHeight="1" spans="2:8">
      <c r="B791" s="145" t="s">
        <v>790</v>
      </c>
      <c r="C791" s="146" t="s">
        <v>791</v>
      </c>
      <c r="D791" s="145" t="s">
        <v>792</v>
      </c>
      <c r="E791" s="177">
        <v>2</v>
      </c>
      <c r="F791" s="148">
        <f>ROUND(SUM(H789:H790)/100,0)</f>
        <v>9059</v>
      </c>
      <c r="G791" s="144"/>
      <c r="H791" s="148">
        <f>ROUND(E791*F791,0)</f>
        <v>18118</v>
      </c>
    </row>
    <row r="792" ht="16.5" customHeight="1" spans="2:8">
      <c r="B792" s="145"/>
      <c r="C792" s="146" t="s">
        <v>818</v>
      </c>
      <c r="D792" s="145"/>
      <c r="E792" s="205"/>
      <c r="F792" s="148"/>
      <c r="G792" s="144"/>
      <c r="H792" s="148">
        <f>ROUND(SUM(H789:H791),0)</f>
        <v>924031</v>
      </c>
    </row>
    <row r="793" ht="27.75" customHeight="1" spans="1:8">
      <c r="A793" s="179"/>
      <c r="B793" s="180"/>
      <c r="C793" s="181" t="s">
        <v>804</v>
      </c>
      <c r="D793" s="180" t="s">
        <v>805</v>
      </c>
      <c r="E793" s="182"/>
      <c r="F793" s="183"/>
      <c r="G793" s="184"/>
      <c r="H793" s="183">
        <f>ROUND(H780+H786+H788,0)</f>
        <v>11582240</v>
      </c>
    </row>
    <row r="794" ht="16.5" customHeight="1" spans="1:8">
      <c r="A794" s="185"/>
      <c r="B794" s="186"/>
      <c r="C794" s="187" t="s">
        <v>806</v>
      </c>
      <c r="D794" s="186" t="s">
        <v>807</v>
      </c>
      <c r="E794" s="188" t="s">
        <v>808</v>
      </c>
      <c r="F794" s="189"/>
      <c r="G794" s="190"/>
      <c r="H794" s="189">
        <v>660188</v>
      </c>
    </row>
    <row r="795" ht="25.5" customHeight="1" spans="1:8">
      <c r="A795" s="185"/>
      <c r="B795" s="186"/>
      <c r="C795" s="187" t="s">
        <v>809</v>
      </c>
      <c r="D795" s="186" t="s">
        <v>810</v>
      </c>
      <c r="E795" s="188" t="s">
        <v>811</v>
      </c>
      <c r="F795" s="189"/>
      <c r="G795" s="190"/>
      <c r="H795" s="189">
        <v>673334</v>
      </c>
    </row>
    <row r="796" ht="28.5" customHeight="1" spans="1:8">
      <c r="A796" s="191"/>
      <c r="B796" s="192"/>
      <c r="C796" s="193" t="s">
        <v>812</v>
      </c>
      <c r="D796" s="192" t="s">
        <v>813</v>
      </c>
      <c r="E796" s="194"/>
      <c r="F796" s="195"/>
      <c r="G796" s="196"/>
      <c r="H796" s="195">
        <f>ROUND(H793+H794+H795,0)</f>
        <v>12915762</v>
      </c>
    </row>
    <row r="797" ht="25.5" customHeight="1" spans="1:8">
      <c r="A797" s="185"/>
      <c r="B797" s="186"/>
      <c r="C797" s="187" t="s">
        <v>814</v>
      </c>
      <c r="D797" s="186" t="s">
        <v>815</v>
      </c>
      <c r="E797" s="197">
        <v>0.1</v>
      </c>
      <c r="F797" s="189"/>
      <c r="G797" s="190"/>
      <c r="H797" s="189">
        <f>ROUND(E797*H796,0)</f>
        <v>1291576</v>
      </c>
    </row>
    <row r="798" ht="30.75" customHeight="1" spans="1:8">
      <c r="A798" s="198"/>
      <c r="B798" s="199"/>
      <c r="C798" s="200" t="s">
        <v>816</v>
      </c>
      <c r="D798" s="199" t="s">
        <v>817</v>
      </c>
      <c r="E798" s="201"/>
      <c r="F798" s="202"/>
      <c r="G798" s="203"/>
      <c r="H798" s="204">
        <f>ROUND(H796+H797,0)</f>
        <v>14207338</v>
      </c>
    </row>
    <row r="799" ht="67.5" customHeight="1" spans="1:8">
      <c r="A799" s="166">
        <v>20</v>
      </c>
      <c r="B799" s="167" t="s">
        <v>313</v>
      </c>
      <c r="C799" s="168" t="s">
        <v>410</v>
      </c>
      <c r="D799" s="167" t="s">
        <v>114</v>
      </c>
      <c r="E799" s="169">
        <v>1</v>
      </c>
      <c r="F799" s="170"/>
      <c r="G799" s="166"/>
      <c r="H799" s="170"/>
    </row>
    <row r="800" ht="16.5" customHeight="1" spans="1:8">
      <c r="A800" s="171"/>
      <c r="B800" s="172"/>
      <c r="C800" s="173" t="s">
        <v>789</v>
      </c>
      <c r="D800" s="172"/>
      <c r="E800" s="174"/>
      <c r="F800" s="175"/>
      <c r="G800" s="176"/>
      <c r="H800" s="175">
        <f>ROUND(H803,0)</f>
        <v>13392900</v>
      </c>
    </row>
    <row r="801" ht="16.5" customHeight="1" spans="2:8">
      <c r="B801" s="145" t="s">
        <v>572</v>
      </c>
      <c r="C801" s="146" t="s">
        <v>573</v>
      </c>
      <c r="D801" s="145" t="s">
        <v>518</v>
      </c>
      <c r="E801" s="177">
        <v>1005</v>
      </c>
      <c r="F801" s="148">
        <v>12900</v>
      </c>
      <c r="G801" s="144"/>
      <c r="H801" s="148">
        <f>ROUND(E801*F801,0)</f>
        <v>12964500</v>
      </c>
    </row>
    <row r="802" ht="16.5" customHeight="1" spans="2:8">
      <c r="B802" s="145" t="s">
        <v>521</v>
      </c>
      <c r="C802" s="146" t="s">
        <v>522</v>
      </c>
      <c r="D802" s="145" t="s">
        <v>518</v>
      </c>
      <c r="E802" s="177">
        <v>21.42</v>
      </c>
      <c r="F802" s="148">
        <v>20000</v>
      </c>
      <c r="G802" s="144"/>
      <c r="H802" s="148">
        <f>ROUND(E802*F802,0)</f>
        <v>428400</v>
      </c>
    </row>
    <row r="803" ht="16.5" customHeight="1" spans="2:8">
      <c r="B803" s="145"/>
      <c r="C803" s="146" t="s">
        <v>818</v>
      </c>
      <c r="D803" s="145"/>
      <c r="E803" s="205"/>
      <c r="F803" s="148"/>
      <c r="G803" s="144"/>
      <c r="H803" s="148">
        <f>ROUND(SUM(H801:H802),0)</f>
        <v>13392900</v>
      </c>
    </row>
    <row r="804" ht="16.5" customHeight="1" spans="1:8">
      <c r="A804" s="171"/>
      <c r="B804" s="172"/>
      <c r="C804" s="173" t="s">
        <v>787</v>
      </c>
      <c r="D804" s="172"/>
      <c r="E804" s="174"/>
      <c r="F804" s="175"/>
      <c r="G804" s="176"/>
      <c r="H804" s="175">
        <f>ROUND(H805,0)</f>
        <v>4086400</v>
      </c>
    </row>
    <row r="805" ht="16.5" customHeight="1" spans="2:8">
      <c r="B805" s="145" t="s">
        <v>596</v>
      </c>
      <c r="C805" s="146" t="s">
        <v>597</v>
      </c>
      <c r="D805" s="145" t="s">
        <v>594</v>
      </c>
      <c r="E805" s="177">
        <v>18.23</v>
      </c>
      <c r="F805" s="148">
        <v>224158</v>
      </c>
      <c r="G805" s="178">
        <v>1</v>
      </c>
      <c r="H805" s="148">
        <f>ROUND(E805*F805*G805,0)</f>
        <v>4086400</v>
      </c>
    </row>
    <row r="806" ht="16.5" customHeight="1" spans="1:8">
      <c r="A806" s="171"/>
      <c r="B806" s="172"/>
      <c r="C806" s="173" t="s">
        <v>788</v>
      </c>
      <c r="D806" s="172"/>
      <c r="E806" s="174"/>
      <c r="F806" s="175"/>
      <c r="G806" s="176"/>
      <c r="H806" s="175">
        <f>ROUND(H811,0)</f>
        <v>208988</v>
      </c>
    </row>
    <row r="807" ht="16.5" customHeight="1" spans="2:8">
      <c r="B807" s="145" t="s">
        <v>621</v>
      </c>
      <c r="C807" s="146" t="s">
        <v>622</v>
      </c>
      <c r="D807" s="145" t="s">
        <v>612</v>
      </c>
      <c r="E807" s="177">
        <v>0.4</v>
      </c>
      <c r="F807" s="148">
        <v>240449</v>
      </c>
      <c r="G807" s="178">
        <v>1</v>
      </c>
      <c r="H807" s="148">
        <f>ROUND(E807*F807*G807,0)</f>
        <v>96180</v>
      </c>
    </row>
    <row r="808" ht="16.5" customHeight="1" spans="2:8">
      <c r="B808" s="145" t="s">
        <v>656</v>
      </c>
      <c r="C808" s="146" t="s">
        <v>657</v>
      </c>
      <c r="D808" s="145" t="s">
        <v>612</v>
      </c>
      <c r="E808" s="177">
        <v>0.03</v>
      </c>
      <c r="F808" s="148">
        <v>740827</v>
      </c>
      <c r="G808" s="178">
        <v>1</v>
      </c>
      <c r="H808" s="148">
        <f>ROUND(E808*F808*G808,0)</f>
        <v>22225</v>
      </c>
    </row>
    <row r="809" ht="16.5" customHeight="1" spans="2:8">
      <c r="B809" s="145" t="s">
        <v>614</v>
      </c>
      <c r="C809" s="146" t="s">
        <v>615</v>
      </c>
      <c r="D809" s="145" t="s">
        <v>612</v>
      </c>
      <c r="E809" s="177">
        <v>0.03</v>
      </c>
      <c r="F809" s="148">
        <v>2882825</v>
      </c>
      <c r="G809" s="178">
        <v>1</v>
      </c>
      <c r="H809" s="148">
        <f>ROUND(E809*F809*G809,0)</f>
        <v>86485</v>
      </c>
    </row>
    <row r="810" ht="16.5" customHeight="1" spans="2:8">
      <c r="B810" s="145" t="s">
        <v>790</v>
      </c>
      <c r="C810" s="146" t="s">
        <v>791</v>
      </c>
      <c r="D810" s="145" t="s">
        <v>792</v>
      </c>
      <c r="E810" s="177">
        <v>2</v>
      </c>
      <c r="F810" s="148">
        <f>ROUND(SUM(H807:H809)/100,0)</f>
        <v>2049</v>
      </c>
      <c r="G810" s="144"/>
      <c r="H810" s="148">
        <f>ROUND(E810*F810,0)</f>
        <v>4098</v>
      </c>
    </row>
    <row r="811" ht="16.5" customHeight="1" spans="2:8">
      <c r="B811" s="145"/>
      <c r="C811" s="146" t="s">
        <v>818</v>
      </c>
      <c r="D811" s="145"/>
      <c r="E811" s="205"/>
      <c r="F811" s="148"/>
      <c r="G811" s="144"/>
      <c r="H811" s="148">
        <f>ROUND(SUM(H807:H810),0)</f>
        <v>208988</v>
      </c>
    </row>
    <row r="812" ht="27.75" customHeight="1" spans="1:8">
      <c r="A812" s="179"/>
      <c r="B812" s="180"/>
      <c r="C812" s="181" t="s">
        <v>804</v>
      </c>
      <c r="D812" s="180" t="s">
        <v>805</v>
      </c>
      <c r="E812" s="182"/>
      <c r="F812" s="183"/>
      <c r="G812" s="184"/>
      <c r="H812" s="183">
        <f>ROUND(H800+H804+H806,0)</f>
        <v>17688288</v>
      </c>
    </row>
    <row r="813" ht="16.5" customHeight="1" spans="1:8">
      <c r="A813" s="185"/>
      <c r="B813" s="186"/>
      <c r="C813" s="187" t="s">
        <v>806</v>
      </c>
      <c r="D813" s="186" t="s">
        <v>807</v>
      </c>
      <c r="E813" s="188" t="s">
        <v>808</v>
      </c>
      <c r="F813" s="189"/>
      <c r="G813" s="190"/>
      <c r="H813" s="189">
        <v>1008232</v>
      </c>
    </row>
    <row r="814" ht="25.5" customHeight="1" spans="1:8">
      <c r="A814" s="185"/>
      <c r="B814" s="186"/>
      <c r="C814" s="187" t="s">
        <v>809</v>
      </c>
      <c r="D814" s="186" t="s">
        <v>810</v>
      </c>
      <c r="E814" s="188" t="s">
        <v>811</v>
      </c>
      <c r="F814" s="189"/>
      <c r="G814" s="190"/>
      <c r="H814" s="189">
        <v>1028309</v>
      </c>
    </row>
    <row r="815" ht="28.5" customHeight="1" spans="1:8">
      <c r="A815" s="191"/>
      <c r="B815" s="192"/>
      <c r="C815" s="193" t="s">
        <v>812</v>
      </c>
      <c r="D815" s="192" t="s">
        <v>813</v>
      </c>
      <c r="E815" s="194"/>
      <c r="F815" s="195"/>
      <c r="G815" s="196"/>
      <c r="H815" s="195">
        <f>ROUND(H812+H813+H814,0)</f>
        <v>19724829</v>
      </c>
    </row>
    <row r="816" ht="25.5" customHeight="1" spans="1:8">
      <c r="A816" s="185"/>
      <c r="B816" s="186"/>
      <c r="C816" s="187" t="s">
        <v>814</v>
      </c>
      <c r="D816" s="186" t="s">
        <v>815</v>
      </c>
      <c r="E816" s="197">
        <v>0.1</v>
      </c>
      <c r="F816" s="189"/>
      <c r="G816" s="190"/>
      <c r="H816" s="189">
        <f>ROUND(E816*H815,0)</f>
        <v>1972483</v>
      </c>
    </row>
    <row r="817" ht="30.75" customHeight="1" spans="1:8">
      <c r="A817" s="198"/>
      <c r="B817" s="199"/>
      <c r="C817" s="200" t="s">
        <v>816</v>
      </c>
      <c r="D817" s="199" t="s">
        <v>817</v>
      </c>
      <c r="E817" s="201"/>
      <c r="F817" s="202"/>
      <c r="G817" s="203"/>
      <c r="H817" s="204">
        <f>ROUND(H815+H816,0)</f>
        <v>21697312</v>
      </c>
    </row>
    <row r="818" ht="54.75" customHeight="1" spans="1:8">
      <c r="A818" s="166">
        <v>21</v>
      </c>
      <c r="B818" s="167" t="s">
        <v>412</v>
      </c>
      <c r="C818" s="168" t="s">
        <v>414</v>
      </c>
      <c r="D818" s="167" t="s">
        <v>55</v>
      </c>
      <c r="E818" s="169">
        <v>1</v>
      </c>
      <c r="F818" s="170"/>
      <c r="G818" s="166"/>
      <c r="H818" s="170"/>
    </row>
    <row r="819" ht="16.5" customHeight="1" spans="1:8">
      <c r="A819" s="171"/>
      <c r="B819" s="172"/>
      <c r="C819" s="173" t="s">
        <v>789</v>
      </c>
      <c r="D819" s="172"/>
      <c r="E819" s="174"/>
      <c r="F819" s="175"/>
      <c r="G819" s="176"/>
      <c r="H819" s="175">
        <f>ROUND(H825,0)</f>
        <v>767021</v>
      </c>
    </row>
    <row r="820" ht="16.5" customHeight="1" spans="2:8">
      <c r="B820" s="145" t="s">
        <v>587</v>
      </c>
      <c r="C820" s="146" t="s">
        <v>588</v>
      </c>
      <c r="D820" s="145" t="s">
        <v>518</v>
      </c>
      <c r="E820" s="177">
        <v>350.55</v>
      </c>
      <c r="F820" s="148">
        <v>1140</v>
      </c>
      <c r="G820" s="144"/>
      <c r="H820" s="148">
        <f>ROUND(E820*F820,0)</f>
        <v>399627</v>
      </c>
    </row>
    <row r="821" ht="16.5" customHeight="1" spans="2:8">
      <c r="B821" s="145" t="s">
        <v>513</v>
      </c>
      <c r="C821" s="146" t="s">
        <v>514</v>
      </c>
      <c r="D821" s="145" t="s">
        <v>55</v>
      </c>
      <c r="E821" s="177">
        <v>0.480725</v>
      </c>
      <c r="F821" s="148">
        <v>258560</v>
      </c>
      <c r="G821" s="144"/>
      <c r="H821" s="148">
        <f>ROUND(E821*F821,0)</f>
        <v>124296</v>
      </c>
    </row>
    <row r="822" ht="16.5" customHeight="1" spans="2:8">
      <c r="B822" s="145" t="s">
        <v>527</v>
      </c>
      <c r="C822" s="146" t="s">
        <v>528</v>
      </c>
      <c r="D822" s="145" t="s">
        <v>55</v>
      </c>
      <c r="E822" s="177">
        <v>0.89995</v>
      </c>
      <c r="F822" s="148">
        <v>260000</v>
      </c>
      <c r="G822" s="144"/>
      <c r="H822" s="148">
        <f>ROUND(E822*F822,0)</f>
        <v>233987</v>
      </c>
    </row>
    <row r="823" ht="16.5" customHeight="1" spans="2:8">
      <c r="B823" s="145" t="s">
        <v>565</v>
      </c>
      <c r="C823" s="146" t="s">
        <v>566</v>
      </c>
      <c r="D823" s="145" t="s">
        <v>567</v>
      </c>
      <c r="E823" s="177">
        <v>189.625</v>
      </c>
      <c r="F823" s="148">
        <v>8</v>
      </c>
      <c r="G823" s="144"/>
      <c r="H823" s="148">
        <f>ROUND(E823*F823,0)</f>
        <v>1517</v>
      </c>
    </row>
    <row r="824" ht="16.5" customHeight="1" spans="2:8">
      <c r="B824" s="145" t="s">
        <v>793</v>
      </c>
      <c r="C824" s="146" t="s">
        <v>794</v>
      </c>
      <c r="D824" s="145" t="s">
        <v>792</v>
      </c>
      <c r="E824" s="177">
        <v>1</v>
      </c>
      <c r="F824" s="148">
        <f>ROUND(SUM(H820:H823)/100,0)</f>
        <v>7594</v>
      </c>
      <c r="G824" s="144"/>
      <c r="H824" s="148">
        <f>ROUND(E824*F824,0)</f>
        <v>7594</v>
      </c>
    </row>
    <row r="825" ht="16.5" customHeight="1" spans="2:8">
      <c r="B825" s="145"/>
      <c r="C825" s="146" t="s">
        <v>818</v>
      </c>
      <c r="D825" s="145"/>
      <c r="E825" s="205"/>
      <c r="F825" s="148"/>
      <c r="G825" s="144"/>
      <c r="H825" s="148">
        <f>ROUND(SUM(H820:H824),0)</f>
        <v>767021</v>
      </c>
    </row>
    <row r="826" ht="16.5" customHeight="1" spans="1:8">
      <c r="A826" s="171"/>
      <c r="B826" s="172"/>
      <c r="C826" s="173" t="s">
        <v>787</v>
      </c>
      <c r="D826" s="172"/>
      <c r="E826" s="174"/>
      <c r="F826" s="175"/>
      <c r="G826" s="176"/>
      <c r="H826" s="175">
        <f>ROUND(H827,0)</f>
        <v>798002</v>
      </c>
    </row>
    <row r="827" ht="16.5" customHeight="1" spans="2:8">
      <c r="B827" s="145" t="s">
        <v>596</v>
      </c>
      <c r="C827" s="146" t="s">
        <v>597</v>
      </c>
      <c r="D827" s="145" t="s">
        <v>594</v>
      </c>
      <c r="E827" s="177">
        <v>3.56</v>
      </c>
      <c r="F827" s="148">
        <v>224158</v>
      </c>
      <c r="G827" s="178">
        <v>1</v>
      </c>
      <c r="H827" s="148">
        <f>ROUND(E827*F827*G827,0)</f>
        <v>798002</v>
      </c>
    </row>
    <row r="828" ht="16.5" customHeight="1" spans="1:8">
      <c r="A828" s="171"/>
      <c r="B828" s="172"/>
      <c r="C828" s="173" t="s">
        <v>788</v>
      </c>
      <c r="D828" s="172"/>
      <c r="E828" s="174"/>
      <c r="F828" s="175"/>
      <c r="G828" s="176"/>
      <c r="H828" s="175">
        <f>ROUND(H832,0)</f>
        <v>114681</v>
      </c>
    </row>
    <row r="829" ht="16.5" customHeight="1" spans="2:8">
      <c r="B829" s="145" t="s">
        <v>642</v>
      </c>
      <c r="C829" s="146" t="s">
        <v>643</v>
      </c>
      <c r="D829" s="145" t="s">
        <v>612</v>
      </c>
      <c r="E829" s="177">
        <v>0.095</v>
      </c>
      <c r="F829" s="148">
        <v>301306</v>
      </c>
      <c r="G829" s="178">
        <v>1</v>
      </c>
      <c r="H829" s="148">
        <f>ROUND(E829*F829*G829,0)</f>
        <v>28624</v>
      </c>
    </row>
    <row r="830" ht="16.5" customHeight="1" spans="2:8">
      <c r="B830" s="145" t="s">
        <v>633</v>
      </c>
      <c r="C830" s="146" t="s">
        <v>634</v>
      </c>
      <c r="D830" s="145" t="s">
        <v>612</v>
      </c>
      <c r="E830" s="177">
        <v>0.18</v>
      </c>
      <c r="F830" s="148">
        <v>237717</v>
      </c>
      <c r="G830" s="178">
        <v>1</v>
      </c>
      <c r="H830" s="148">
        <f>ROUND(E830*F830*G830,0)</f>
        <v>42789</v>
      </c>
    </row>
    <row r="831" ht="16.5" customHeight="1" spans="2:8">
      <c r="B831" s="145" t="s">
        <v>645</v>
      </c>
      <c r="C831" s="146" t="s">
        <v>646</v>
      </c>
      <c r="D831" s="145" t="s">
        <v>612</v>
      </c>
      <c r="E831" s="177">
        <v>0.11</v>
      </c>
      <c r="F831" s="148">
        <v>393344</v>
      </c>
      <c r="G831" s="178">
        <v>1</v>
      </c>
      <c r="H831" s="148">
        <f>ROUND(E831*F831*G831,0)</f>
        <v>43268</v>
      </c>
    </row>
    <row r="832" ht="16.5" customHeight="1" spans="2:8">
      <c r="B832" s="145"/>
      <c r="C832" s="146" t="s">
        <v>818</v>
      </c>
      <c r="D832" s="145"/>
      <c r="E832" s="205"/>
      <c r="F832" s="148"/>
      <c r="G832" s="144"/>
      <c r="H832" s="148">
        <f>ROUND(SUM(H829:H831),0)</f>
        <v>114681</v>
      </c>
    </row>
    <row r="833" ht="27.75" customHeight="1" spans="1:8">
      <c r="A833" s="179"/>
      <c r="B833" s="180"/>
      <c r="C833" s="181" t="s">
        <v>804</v>
      </c>
      <c r="D833" s="180" t="s">
        <v>805</v>
      </c>
      <c r="E833" s="182"/>
      <c r="F833" s="183"/>
      <c r="G833" s="184"/>
      <c r="H833" s="183">
        <f>ROUND(H819+H826+H828,0)</f>
        <v>1679704</v>
      </c>
    </row>
    <row r="834" ht="16.5" customHeight="1" spans="1:8">
      <c r="A834" s="185"/>
      <c r="B834" s="186"/>
      <c r="C834" s="187" t="s">
        <v>806</v>
      </c>
      <c r="D834" s="186" t="s">
        <v>807</v>
      </c>
      <c r="E834" s="188" t="s">
        <v>808</v>
      </c>
      <c r="F834" s="189"/>
      <c r="G834" s="190"/>
      <c r="H834" s="189">
        <v>95743</v>
      </c>
    </row>
    <row r="835" ht="25.5" customHeight="1" spans="1:8">
      <c r="A835" s="185"/>
      <c r="B835" s="186"/>
      <c r="C835" s="187" t="s">
        <v>809</v>
      </c>
      <c r="D835" s="186" t="s">
        <v>810</v>
      </c>
      <c r="E835" s="188" t="s">
        <v>811</v>
      </c>
      <c r="F835" s="189"/>
      <c r="G835" s="190"/>
      <c r="H835" s="189">
        <v>97650</v>
      </c>
    </row>
    <row r="836" ht="28.5" customHeight="1" spans="1:8">
      <c r="A836" s="191"/>
      <c r="B836" s="192"/>
      <c r="C836" s="193" t="s">
        <v>812</v>
      </c>
      <c r="D836" s="192" t="s">
        <v>813</v>
      </c>
      <c r="E836" s="194"/>
      <c r="F836" s="195"/>
      <c r="G836" s="196"/>
      <c r="H836" s="195">
        <f>ROUND(H833+H834+H835,0)</f>
        <v>1873097</v>
      </c>
    </row>
    <row r="837" ht="25.5" customHeight="1" spans="1:8">
      <c r="A837" s="185"/>
      <c r="B837" s="186"/>
      <c r="C837" s="187" t="s">
        <v>814</v>
      </c>
      <c r="D837" s="186" t="s">
        <v>815</v>
      </c>
      <c r="E837" s="197">
        <v>0.1</v>
      </c>
      <c r="F837" s="189"/>
      <c r="G837" s="190"/>
      <c r="H837" s="189">
        <f>ROUND(E837*H836,0)</f>
        <v>187310</v>
      </c>
    </row>
    <row r="838" ht="30.75" customHeight="1" spans="1:8">
      <c r="A838" s="198"/>
      <c r="B838" s="199"/>
      <c r="C838" s="200" t="s">
        <v>816</v>
      </c>
      <c r="D838" s="199" t="s">
        <v>817</v>
      </c>
      <c r="E838" s="201"/>
      <c r="F838" s="202"/>
      <c r="G838" s="203"/>
      <c r="H838" s="204">
        <f>ROUND(H836+H837,0)</f>
        <v>2060407</v>
      </c>
    </row>
    <row r="839" ht="42" customHeight="1" spans="1:8">
      <c r="A839" s="166">
        <v>22</v>
      </c>
      <c r="B839" s="167" t="s">
        <v>418</v>
      </c>
      <c r="C839" s="168" t="s">
        <v>419</v>
      </c>
      <c r="D839" s="167" t="s">
        <v>107</v>
      </c>
      <c r="E839" s="169">
        <v>1</v>
      </c>
      <c r="F839" s="170"/>
      <c r="G839" s="166"/>
      <c r="H839" s="170"/>
    </row>
    <row r="840" ht="16.5" customHeight="1" spans="1:8">
      <c r="A840" s="171"/>
      <c r="B840" s="172"/>
      <c r="C840" s="173" t="s">
        <v>789</v>
      </c>
      <c r="D840" s="172"/>
      <c r="E840" s="174"/>
      <c r="F840" s="175"/>
      <c r="G840" s="176"/>
      <c r="H840" s="175">
        <f>ROUND(H844,0)</f>
        <v>251692</v>
      </c>
    </row>
    <row r="841" ht="16.5" customHeight="1" spans="2:8">
      <c r="B841" s="145" t="s">
        <v>557</v>
      </c>
      <c r="C841" s="146" t="s">
        <v>558</v>
      </c>
      <c r="D841" s="145" t="s">
        <v>55</v>
      </c>
      <c r="E841" s="177">
        <v>0.123</v>
      </c>
      <c r="F841" s="148">
        <v>2000000</v>
      </c>
      <c r="G841" s="144"/>
      <c r="H841" s="148">
        <f>ROUND(E841*F841,0)</f>
        <v>246000</v>
      </c>
    </row>
    <row r="842" ht="16.5" customHeight="1" spans="2:8">
      <c r="B842" s="145" t="s">
        <v>536</v>
      </c>
      <c r="C842" s="146" t="s">
        <v>537</v>
      </c>
      <c r="D842" s="145" t="s">
        <v>518</v>
      </c>
      <c r="E842" s="177">
        <v>0.16</v>
      </c>
      <c r="F842" s="148">
        <v>20000</v>
      </c>
      <c r="G842" s="144"/>
      <c r="H842" s="148">
        <f>ROUND(E842*F842,0)</f>
        <v>3200</v>
      </c>
    </row>
    <row r="843" ht="16.5" customHeight="1" spans="2:8">
      <c r="B843" s="145" t="s">
        <v>793</v>
      </c>
      <c r="C843" s="146" t="s">
        <v>794</v>
      </c>
      <c r="D843" s="145" t="s">
        <v>792</v>
      </c>
      <c r="E843" s="177">
        <v>1</v>
      </c>
      <c r="F843" s="148">
        <f>ROUND(SUM(H841:H842)/100,0)</f>
        <v>2492</v>
      </c>
      <c r="G843" s="144"/>
      <c r="H843" s="148">
        <f>ROUND(E843*F843,0)</f>
        <v>2492</v>
      </c>
    </row>
    <row r="844" ht="16.5" customHeight="1" spans="2:8">
      <c r="B844" s="145"/>
      <c r="C844" s="146" t="s">
        <v>818</v>
      </c>
      <c r="D844" s="145"/>
      <c r="E844" s="205"/>
      <c r="F844" s="148"/>
      <c r="G844" s="144"/>
      <c r="H844" s="148">
        <f>ROUND(SUM(H841:H843),0)</f>
        <v>251692</v>
      </c>
    </row>
    <row r="845" ht="16.5" customHeight="1" spans="1:8">
      <c r="A845" s="171"/>
      <c r="B845" s="172"/>
      <c r="C845" s="173" t="s">
        <v>787</v>
      </c>
      <c r="D845" s="172"/>
      <c r="E845" s="174"/>
      <c r="F845" s="175"/>
      <c r="G845" s="176"/>
      <c r="H845" s="175">
        <f>ROUND(H846,0)</f>
        <v>5267395</v>
      </c>
    </row>
    <row r="846" ht="16.5" customHeight="1" spans="2:8">
      <c r="B846" s="145" t="s">
        <v>592</v>
      </c>
      <c r="C846" s="146" t="s">
        <v>593</v>
      </c>
      <c r="D846" s="145" t="s">
        <v>594</v>
      </c>
      <c r="E846" s="177">
        <v>25.62</v>
      </c>
      <c r="F846" s="148">
        <v>205597</v>
      </c>
      <c r="G846" s="178">
        <v>1</v>
      </c>
      <c r="H846" s="148">
        <f>ROUND(E846*F846*G846,0)</f>
        <v>5267395</v>
      </c>
    </row>
    <row r="847" ht="27.75" customHeight="1" spans="1:8">
      <c r="A847" s="179"/>
      <c r="B847" s="180"/>
      <c r="C847" s="181" t="s">
        <v>804</v>
      </c>
      <c r="D847" s="180" t="s">
        <v>805</v>
      </c>
      <c r="E847" s="182"/>
      <c r="F847" s="183"/>
      <c r="G847" s="184"/>
      <c r="H847" s="183">
        <f>ROUND(H840+H845,0)</f>
        <v>5519087</v>
      </c>
    </row>
    <row r="848" ht="16.5" customHeight="1" spans="1:8">
      <c r="A848" s="185"/>
      <c r="B848" s="186"/>
      <c r="C848" s="187" t="s">
        <v>806</v>
      </c>
      <c r="D848" s="186" t="s">
        <v>807</v>
      </c>
      <c r="E848" s="188" t="s">
        <v>808</v>
      </c>
      <c r="F848" s="189"/>
      <c r="G848" s="190"/>
      <c r="H848" s="189">
        <v>314588</v>
      </c>
    </row>
    <row r="849" ht="25.5" customHeight="1" spans="1:8">
      <c r="A849" s="185"/>
      <c r="B849" s="186"/>
      <c r="C849" s="187" t="s">
        <v>809</v>
      </c>
      <c r="D849" s="186" t="s">
        <v>810</v>
      </c>
      <c r="E849" s="188" t="s">
        <v>811</v>
      </c>
      <c r="F849" s="189"/>
      <c r="G849" s="190"/>
      <c r="H849" s="189">
        <v>320852</v>
      </c>
    </row>
    <row r="850" ht="28.5" customHeight="1" spans="1:8">
      <c r="A850" s="191"/>
      <c r="B850" s="192"/>
      <c r="C850" s="193" t="s">
        <v>812</v>
      </c>
      <c r="D850" s="192" t="s">
        <v>813</v>
      </c>
      <c r="E850" s="194"/>
      <c r="F850" s="195"/>
      <c r="G850" s="196"/>
      <c r="H850" s="195">
        <f>ROUND(H847+H848+H849,0)</f>
        <v>6154527</v>
      </c>
    </row>
    <row r="851" ht="25.5" customHeight="1" spans="1:8">
      <c r="A851" s="185"/>
      <c r="B851" s="186"/>
      <c r="C851" s="187" t="s">
        <v>814</v>
      </c>
      <c r="D851" s="186" t="s">
        <v>815</v>
      </c>
      <c r="E851" s="197">
        <v>0.1</v>
      </c>
      <c r="F851" s="189"/>
      <c r="G851" s="190"/>
      <c r="H851" s="189">
        <f>ROUND(E851*H850,0)</f>
        <v>615453</v>
      </c>
    </row>
    <row r="852" ht="30.75" customHeight="1" spans="1:8">
      <c r="A852" s="198"/>
      <c r="B852" s="199"/>
      <c r="C852" s="200" t="s">
        <v>816</v>
      </c>
      <c r="D852" s="199" t="s">
        <v>817</v>
      </c>
      <c r="E852" s="201"/>
      <c r="F852" s="202"/>
      <c r="G852" s="203"/>
      <c r="H852" s="204">
        <f>ROUND(H850+H851,0)</f>
        <v>6769980</v>
      </c>
    </row>
    <row r="853" ht="29.25" customHeight="1" spans="1:8">
      <c r="A853" s="166">
        <v>23</v>
      </c>
      <c r="B853" s="167" t="s">
        <v>431</v>
      </c>
      <c r="C853" s="168" t="s">
        <v>432</v>
      </c>
      <c r="D853" s="167" t="s">
        <v>114</v>
      </c>
      <c r="E853" s="169">
        <v>1</v>
      </c>
      <c r="F853" s="170"/>
      <c r="G853" s="166"/>
      <c r="H853" s="170"/>
    </row>
    <row r="854" ht="16.5" customHeight="1" spans="1:8">
      <c r="A854" s="171"/>
      <c r="B854" s="172"/>
      <c r="C854" s="173" t="s">
        <v>789</v>
      </c>
      <c r="D854" s="172"/>
      <c r="E854" s="174"/>
      <c r="F854" s="175"/>
      <c r="G854" s="176"/>
      <c r="H854" s="175">
        <f>ROUND(H857,0)</f>
        <v>13392900</v>
      </c>
    </row>
    <row r="855" ht="16.5" customHeight="1" spans="2:8">
      <c r="B855" s="145" t="s">
        <v>572</v>
      </c>
      <c r="C855" s="146" t="s">
        <v>573</v>
      </c>
      <c r="D855" s="145" t="s">
        <v>518</v>
      </c>
      <c r="E855" s="177">
        <v>1005</v>
      </c>
      <c r="F855" s="148">
        <v>12900</v>
      </c>
      <c r="G855" s="144"/>
      <c r="H855" s="148">
        <f>ROUND(E855*F855,0)</f>
        <v>12964500</v>
      </c>
    </row>
    <row r="856" ht="16.5" customHeight="1" spans="2:8">
      <c r="B856" s="145" t="s">
        <v>521</v>
      </c>
      <c r="C856" s="146" t="s">
        <v>522</v>
      </c>
      <c r="D856" s="145" t="s">
        <v>518</v>
      </c>
      <c r="E856" s="177">
        <v>21.42</v>
      </c>
      <c r="F856" s="148">
        <v>20000</v>
      </c>
      <c r="G856" s="144"/>
      <c r="H856" s="148">
        <f>ROUND(E856*F856,0)</f>
        <v>428400</v>
      </c>
    </row>
    <row r="857" ht="16.5" customHeight="1" spans="2:8">
      <c r="B857" s="145"/>
      <c r="C857" s="146" t="s">
        <v>818</v>
      </c>
      <c r="D857" s="145"/>
      <c r="E857" s="205"/>
      <c r="F857" s="148"/>
      <c r="G857" s="144"/>
      <c r="H857" s="148">
        <f>ROUND(SUM(H855:H856),0)</f>
        <v>13392900</v>
      </c>
    </row>
    <row r="858" ht="16.5" customHeight="1" spans="1:8">
      <c r="A858" s="171"/>
      <c r="B858" s="172"/>
      <c r="C858" s="173" t="s">
        <v>787</v>
      </c>
      <c r="D858" s="172"/>
      <c r="E858" s="174"/>
      <c r="F858" s="175"/>
      <c r="G858" s="176"/>
      <c r="H858" s="175">
        <f>ROUND(H859,0)</f>
        <v>4790256</v>
      </c>
    </row>
    <row r="859" ht="16.5" customHeight="1" spans="2:8">
      <c r="B859" s="145" t="s">
        <v>596</v>
      </c>
      <c r="C859" s="146" t="s">
        <v>597</v>
      </c>
      <c r="D859" s="145" t="s">
        <v>594</v>
      </c>
      <c r="E859" s="177">
        <v>21.37</v>
      </c>
      <c r="F859" s="148">
        <v>224158</v>
      </c>
      <c r="G859" s="178">
        <v>1</v>
      </c>
      <c r="H859" s="148">
        <f>ROUND(E859*F859*G859,0)</f>
        <v>4790256</v>
      </c>
    </row>
    <row r="860" ht="16.5" customHeight="1" spans="1:8">
      <c r="A860" s="171"/>
      <c r="B860" s="172"/>
      <c r="C860" s="173" t="s">
        <v>788</v>
      </c>
      <c r="D860" s="172"/>
      <c r="E860" s="174"/>
      <c r="F860" s="175"/>
      <c r="G860" s="176"/>
      <c r="H860" s="175">
        <f>ROUND(H861,0)</f>
        <v>115416</v>
      </c>
    </row>
    <row r="861" ht="16.5" customHeight="1" spans="2:8">
      <c r="B861" s="145" t="s">
        <v>621</v>
      </c>
      <c r="C861" s="146" t="s">
        <v>622</v>
      </c>
      <c r="D861" s="145" t="s">
        <v>612</v>
      </c>
      <c r="E861" s="177">
        <v>0.48</v>
      </c>
      <c r="F861" s="148">
        <v>240449</v>
      </c>
      <c r="G861" s="178">
        <v>1</v>
      </c>
      <c r="H861" s="148">
        <f>ROUND(E861*F861*G861,0)</f>
        <v>115416</v>
      </c>
    </row>
    <row r="862" ht="27.75" customHeight="1" spans="1:8">
      <c r="A862" s="179"/>
      <c r="B862" s="180"/>
      <c r="C862" s="181" t="s">
        <v>804</v>
      </c>
      <c r="D862" s="180" t="s">
        <v>805</v>
      </c>
      <c r="E862" s="182"/>
      <c r="F862" s="183"/>
      <c r="G862" s="184"/>
      <c r="H862" s="183">
        <f>ROUND(H854+H858+H860,0)</f>
        <v>18298572</v>
      </c>
    </row>
    <row r="863" ht="16.5" customHeight="1" spans="1:8">
      <c r="A863" s="185"/>
      <c r="B863" s="186"/>
      <c r="C863" s="187" t="s">
        <v>806</v>
      </c>
      <c r="D863" s="186" t="s">
        <v>807</v>
      </c>
      <c r="E863" s="188" t="s">
        <v>808</v>
      </c>
      <c r="F863" s="189"/>
      <c r="G863" s="190"/>
      <c r="H863" s="189">
        <v>1043019</v>
      </c>
    </row>
    <row r="864" ht="25.5" customHeight="1" spans="1:8">
      <c r="A864" s="185"/>
      <c r="B864" s="186"/>
      <c r="C864" s="187" t="s">
        <v>809</v>
      </c>
      <c r="D864" s="186" t="s">
        <v>810</v>
      </c>
      <c r="E864" s="188" t="s">
        <v>811</v>
      </c>
      <c r="F864" s="189"/>
      <c r="G864" s="190"/>
      <c r="H864" s="189">
        <v>1063788</v>
      </c>
    </row>
    <row r="865" ht="28.5" customHeight="1" spans="1:8">
      <c r="A865" s="191"/>
      <c r="B865" s="192"/>
      <c r="C865" s="193" t="s">
        <v>812</v>
      </c>
      <c r="D865" s="192" t="s">
        <v>813</v>
      </c>
      <c r="E865" s="194"/>
      <c r="F865" s="195"/>
      <c r="G865" s="196"/>
      <c r="H865" s="195">
        <f>ROUND(H862+H863+H864,0)</f>
        <v>20405379</v>
      </c>
    </row>
    <row r="866" ht="25.5" customHeight="1" spans="1:8">
      <c r="A866" s="185"/>
      <c r="B866" s="186"/>
      <c r="C866" s="187" t="s">
        <v>814</v>
      </c>
      <c r="D866" s="186" t="s">
        <v>815</v>
      </c>
      <c r="E866" s="197">
        <v>0.1</v>
      </c>
      <c r="F866" s="189"/>
      <c r="G866" s="190"/>
      <c r="H866" s="189">
        <f>ROUND(E866*H865,0)</f>
        <v>2040538</v>
      </c>
    </row>
    <row r="867" ht="30.75" customHeight="1" spans="1:8">
      <c r="A867" s="198"/>
      <c r="B867" s="199"/>
      <c r="C867" s="200" t="s">
        <v>816</v>
      </c>
      <c r="D867" s="199" t="s">
        <v>817</v>
      </c>
      <c r="E867" s="201"/>
      <c r="F867" s="202"/>
      <c r="G867" s="203"/>
      <c r="H867" s="204">
        <f>ROUND(H865+H866,0)</f>
        <v>22445917</v>
      </c>
    </row>
    <row r="868" ht="42" customHeight="1" spans="1:8">
      <c r="A868" s="166">
        <v>24</v>
      </c>
      <c r="B868" s="167" t="s">
        <v>442</v>
      </c>
      <c r="C868" s="168" t="s">
        <v>443</v>
      </c>
      <c r="D868" s="167" t="s">
        <v>55</v>
      </c>
      <c r="E868" s="169">
        <v>1</v>
      </c>
      <c r="F868" s="170"/>
      <c r="G868" s="166"/>
      <c r="H868" s="170"/>
    </row>
    <row r="869" ht="16.5" customHeight="1" spans="1:8">
      <c r="A869" s="171"/>
      <c r="B869" s="172"/>
      <c r="C869" s="173" t="s">
        <v>789</v>
      </c>
      <c r="D869" s="172"/>
      <c r="E869" s="174"/>
      <c r="F869" s="175"/>
      <c r="G869" s="176"/>
      <c r="H869" s="175">
        <f>ROUND(H875,0)</f>
        <v>755778</v>
      </c>
    </row>
    <row r="870" ht="16.5" customHeight="1" spans="2:8">
      <c r="B870" s="145" t="s">
        <v>587</v>
      </c>
      <c r="C870" s="146" t="s">
        <v>588</v>
      </c>
      <c r="D870" s="145" t="s">
        <v>518</v>
      </c>
      <c r="E870" s="177">
        <v>347.13</v>
      </c>
      <c r="F870" s="148">
        <v>1140</v>
      </c>
      <c r="G870" s="144"/>
      <c r="H870" s="148">
        <f>ROUND(E870*F870,0)</f>
        <v>395728</v>
      </c>
    </row>
    <row r="871" ht="16.5" customHeight="1" spans="2:8">
      <c r="B871" s="145" t="s">
        <v>513</v>
      </c>
      <c r="C871" s="146" t="s">
        <v>514</v>
      </c>
      <c r="D871" s="145" t="s">
        <v>55</v>
      </c>
      <c r="E871" s="177">
        <v>0.476035</v>
      </c>
      <c r="F871" s="148">
        <v>258560</v>
      </c>
      <c r="G871" s="144"/>
      <c r="H871" s="148">
        <f>ROUND(E871*F871,0)</f>
        <v>123084</v>
      </c>
    </row>
    <row r="872" ht="16.5" customHeight="1" spans="2:8">
      <c r="B872" s="145" t="s">
        <v>527</v>
      </c>
      <c r="C872" s="146" t="s">
        <v>528</v>
      </c>
      <c r="D872" s="145" t="s">
        <v>55</v>
      </c>
      <c r="E872" s="177">
        <v>0.89117</v>
      </c>
      <c r="F872" s="148">
        <v>260000</v>
      </c>
      <c r="G872" s="144"/>
      <c r="H872" s="148">
        <f>ROUND(E872*F872,0)</f>
        <v>231704</v>
      </c>
    </row>
    <row r="873" ht="16.5" customHeight="1" spans="2:8">
      <c r="B873" s="145" t="s">
        <v>565</v>
      </c>
      <c r="C873" s="146" t="s">
        <v>566</v>
      </c>
      <c r="D873" s="145" t="s">
        <v>567</v>
      </c>
      <c r="E873" s="177">
        <v>187.775</v>
      </c>
      <c r="F873" s="148">
        <v>8</v>
      </c>
      <c r="G873" s="144"/>
      <c r="H873" s="148">
        <f>ROUND(E873*F873,0)</f>
        <v>1502</v>
      </c>
    </row>
    <row r="874" ht="16.5" customHeight="1" spans="2:8">
      <c r="B874" s="145" t="s">
        <v>793</v>
      </c>
      <c r="C874" s="146" t="s">
        <v>794</v>
      </c>
      <c r="D874" s="145" t="s">
        <v>792</v>
      </c>
      <c r="E874" s="177">
        <v>0.5</v>
      </c>
      <c r="F874" s="148">
        <f>ROUND(SUM(H870:H873)/100,0)</f>
        <v>7520</v>
      </c>
      <c r="G874" s="144"/>
      <c r="H874" s="148">
        <f>ROUND(E874*F874,0)</f>
        <v>3760</v>
      </c>
    </row>
    <row r="875" ht="16.5" customHeight="1" spans="2:8">
      <c r="B875" s="145"/>
      <c r="C875" s="146" t="s">
        <v>818</v>
      </c>
      <c r="D875" s="145"/>
      <c r="E875" s="205"/>
      <c r="F875" s="148"/>
      <c r="G875" s="144"/>
      <c r="H875" s="148">
        <f>ROUND(SUM(H870:H874),0)</f>
        <v>755778</v>
      </c>
    </row>
    <row r="876" ht="16.5" customHeight="1" spans="1:8">
      <c r="A876" s="171"/>
      <c r="B876" s="172"/>
      <c r="C876" s="173" t="s">
        <v>787</v>
      </c>
      <c r="D876" s="172"/>
      <c r="E876" s="174"/>
      <c r="F876" s="175"/>
      <c r="G876" s="176"/>
      <c r="H876" s="175">
        <f>ROUND(H877,0)</f>
        <v>528384</v>
      </c>
    </row>
    <row r="877" ht="16.5" customHeight="1" spans="2:8">
      <c r="B877" s="145" t="s">
        <v>592</v>
      </c>
      <c r="C877" s="146" t="s">
        <v>593</v>
      </c>
      <c r="D877" s="145" t="s">
        <v>594</v>
      </c>
      <c r="E877" s="177">
        <v>2.57</v>
      </c>
      <c r="F877" s="148">
        <v>205597</v>
      </c>
      <c r="G877" s="178">
        <v>1</v>
      </c>
      <c r="H877" s="148">
        <f>ROUND(E877*F877*G877,0)</f>
        <v>528384</v>
      </c>
    </row>
    <row r="878" ht="16.5" customHeight="1" spans="1:8">
      <c r="A878" s="171"/>
      <c r="B878" s="172"/>
      <c r="C878" s="173" t="s">
        <v>788</v>
      </c>
      <c r="D878" s="172"/>
      <c r="E878" s="174"/>
      <c r="F878" s="175"/>
      <c r="G878" s="176"/>
      <c r="H878" s="175">
        <f>ROUND(H879,0)</f>
        <v>28624</v>
      </c>
    </row>
    <row r="879" ht="16.5" customHeight="1" spans="2:8">
      <c r="B879" s="145" t="s">
        <v>642</v>
      </c>
      <c r="C879" s="146" t="s">
        <v>643</v>
      </c>
      <c r="D879" s="145" t="s">
        <v>612</v>
      </c>
      <c r="E879" s="177">
        <v>0.095</v>
      </c>
      <c r="F879" s="148">
        <v>301306</v>
      </c>
      <c r="G879" s="178">
        <v>1</v>
      </c>
      <c r="H879" s="148">
        <f>ROUND(E879*F879*G879,0)</f>
        <v>28624</v>
      </c>
    </row>
    <row r="880" ht="27.75" customHeight="1" spans="1:8">
      <c r="A880" s="179"/>
      <c r="B880" s="180"/>
      <c r="C880" s="181" t="s">
        <v>804</v>
      </c>
      <c r="D880" s="180" t="s">
        <v>805</v>
      </c>
      <c r="E880" s="182"/>
      <c r="F880" s="183"/>
      <c r="G880" s="184"/>
      <c r="H880" s="183">
        <f>ROUND(H869+H876+H878,0)</f>
        <v>1312786</v>
      </c>
    </row>
    <row r="881" ht="16.5" customHeight="1" spans="1:8">
      <c r="A881" s="185"/>
      <c r="B881" s="186"/>
      <c r="C881" s="187" t="s">
        <v>806</v>
      </c>
      <c r="D881" s="186" t="s">
        <v>807</v>
      </c>
      <c r="E881" s="188" t="s">
        <v>808</v>
      </c>
      <c r="F881" s="189"/>
      <c r="G881" s="190"/>
      <c r="H881" s="189">
        <v>74829</v>
      </c>
    </row>
    <row r="882" ht="25.5" customHeight="1" spans="1:8">
      <c r="A882" s="185"/>
      <c r="B882" s="186"/>
      <c r="C882" s="187" t="s">
        <v>809</v>
      </c>
      <c r="D882" s="186" t="s">
        <v>810</v>
      </c>
      <c r="E882" s="188" t="s">
        <v>811</v>
      </c>
      <c r="F882" s="189"/>
      <c r="G882" s="190"/>
      <c r="H882" s="189">
        <v>76319</v>
      </c>
    </row>
    <row r="883" ht="28.5" customHeight="1" spans="1:8">
      <c r="A883" s="191"/>
      <c r="B883" s="192"/>
      <c r="C883" s="193" t="s">
        <v>812</v>
      </c>
      <c r="D883" s="192" t="s">
        <v>813</v>
      </c>
      <c r="E883" s="194"/>
      <c r="F883" s="195"/>
      <c r="G883" s="196"/>
      <c r="H883" s="195">
        <f>ROUND(H880+H881+H882,0)</f>
        <v>1463934</v>
      </c>
    </row>
    <row r="884" ht="25.5" customHeight="1" spans="1:8">
      <c r="A884" s="185"/>
      <c r="B884" s="186"/>
      <c r="C884" s="187" t="s">
        <v>814</v>
      </c>
      <c r="D884" s="186" t="s">
        <v>815</v>
      </c>
      <c r="E884" s="197">
        <v>0.1</v>
      </c>
      <c r="F884" s="189"/>
      <c r="G884" s="190"/>
      <c r="H884" s="189">
        <f>ROUND(E884*H883,0)</f>
        <v>146393</v>
      </c>
    </row>
    <row r="885" ht="30.75" customHeight="1" spans="1:8">
      <c r="A885" s="198"/>
      <c r="B885" s="199"/>
      <c r="C885" s="200" t="s">
        <v>816</v>
      </c>
      <c r="D885" s="199" t="s">
        <v>817</v>
      </c>
      <c r="E885" s="201"/>
      <c r="F885" s="202"/>
      <c r="G885" s="203"/>
      <c r="H885" s="204">
        <f>ROUND(H883+H884,0)</f>
        <v>1610327</v>
      </c>
    </row>
    <row r="886" ht="54.75" customHeight="1" spans="1:8">
      <c r="A886" s="166">
        <v>25</v>
      </c>
      <c r="B886" s="167" t="s">
        <v>447</v>
      </c>
      <c r="C886" s="168" t="s">
        <v>449</v>
      </c>
      <c r="D886" s="167" t="s">
        <v>450</v>
      </c>
      <c r="E886" s="169">
        <v>1</v>
      </c>
      <c r="F886" s="170"/>
      <c r="G886" s="166"/>
      <c r="H886" s="170"/>
    </row>
    <row r="887" ht="16.5" customHeight="1" spans="1:8">
      <c r="A887" s="171"/>
      <c r="B887" s="172"/>
      <c r="C887" s="173" t="s">
        <v>789</v>
      </c>
      <c r="D887" s="172"/>
      <c r="E887" s="174"/>
      <c r="F887" s="175"/>
      <c r="G887" s="176"/>
      <c r="H887" s="175">
        <f>ROUND(H892,0)</f>
        <v>3974</v>
      </c>
    </row>
    <row r="888" ht="16.5" customHeight="1" spans="2:8">
      <c r="B888" s="145" t="s">
        <v>587</v>
      </c>
      <c r="C888" s="146" t="s">
        <v>588</v>
      </c>
      <c r="D888" s="145" t="s">
        <v>518</v>
      </c>
      <c r="E888" s="177">
        <v>1.9252</v>
      </c>
      <c r="F888" s="148">
        <v>1140</v>
      </c>
      <c r="G888" s="144"/>
      <c r="H888" s="148">
        <f>ROUND(E888*F888,0)</f>
        <v>2195</v>
      </c>
    </row>
    <row r="889" ht="16.5" customHeight="1" spans="2:8">
      <c r="B889" s="145" t="s">
        <v>513</v>
      </c>
      <c r="C889" s="146" t="s">
        <v>514</v>
      </c>
      <c r="D889" s="145" t="s">
        <v>55</v>
      </c>
      <c r="E889" s="177">
        <v>0.00545</v>
      </c>
      <c r="F889" s="148">
        <v>258560</v>
      </c>
      <c r="G889" s="144"/>
      <c r="H889" s="148">
        <f>ROUND(E889*F889,0)</f>
        <v>1409</v>
      </c>
    </row>
    <row r="890" ht="16.5" customHeight="1" spans="2:8">
      <c r="B890" s="145" t="s">
        <v>565</v>
      </c>
      <c r="C890" s="146" t="s">
        <v>566</v>
      </c>
      <c r="D890" s="145" t="s">
        <v>567</v>
      </c>
      <c r="E890" s="177">
        <v>1.3</v>
      </c>
      <c r="F890" s="148">
        <v>8</v>
      </c>
      <c r="G890" s="144"/>
      <c r="H890" s="148">
        <f>ROUND(E890*F890,0)</f>
        <v>10</v>
      </c>
    </row>
    <row r="891" ht="16.5" customHeight="1" spans="2:8">
      <c r="B891" s="145" t="s">
        <v>793</v>
      </c>
      <c r="C891" s="146" t="s">
        <v>794</v>
      </c>
      <c r="D891" s="145" t="s">
        <v>792</v>
      </c>
      <c r="E891" s="177">
        <v>10</v>
      </c>
      <c r="F891" s="148">
        <f>ROUND(SUM(H888:H890)/100,0)</f>
        <v>36</v>
      </c>
      <c r="G891" s="144"/>
      <c r="H891" s="148">
        <f>ROUND(E891*F891,0)</f>
        <v>360</v>
      </c>
    </row>
    <row r="892" ht="16.5" customHeight="1" spans="2:8">
      <c r="B892" s="145"/>
      <c r="C892" s="146" t="s">
        <v>818</v>
      </c>
      <c r="D892" s="145"/>
      <c r="E892" s="205"/>
      <c r="F892" s="148"/>
      <c r="G892" s="144"/>
      <c r="H892" s="148">
        <f>ROUND(SUM(H888:H891),0)</f>
        <v>3974</v>
      </c>
    </row>
    <row r="893" ht="16.5" customHeight="1" spans="1:8">
      <c r="A893" s="171"/>
      <c r="B893" s="172"/>
      <c r="C893" s="173" t="s">
        <v>787</v>
      </c>
      <c r="D893" s="172"/>
      <c r="E893" s="174"/>
      <c r="F893" s="175"/>
      <c r="G893" s="176"/>
      <c r="H893" s="175">
        <f>ROUND(H894,0)</f>
        <v>60680</v>
      </c>
    </row>
    <row r="894" ht="16.5" customHeight="1" spans="2:8">
      <c r="B894" s="145" t="s">
        <v>602</v>
      </c>
      <c r="C894" s="146" t="s">
        <v>603</v>
      </c>
      <c r="D894" s="145" t="s">
        <v>594</v>
      </c>
      <c r="E894" s="177">
        <v>0.25</v>
      </c>
      <c r="F894" s="148">
        <v>242718</v>
      </c>
      <c r="G894" s="178">
        <v>1</v>
      </c>
      <c r="H894" s="148">
        <f>ROUND(E894*F894*G894,0)</f>
        <v>60680</v>
      </c>
    </row>
    <row r="895" ht="27.75" customHeight="1" spans="1:8">
      <c r="A895" s="179"/>
      <c r="B895" s="180"/>
      <c r="C895" s="181" t="s">
        <v>804</v>
      </c>
      <c r="D895" s="180" t="s">
        <v>805</v>
      </c>
      <c r="E895" s="182"/>
      <c r="F895" s="183"/>
      <c r="G895" s="184"/>
      <c r="H895" s="183">
        <f>ROUND(H887+H893,0)</f>
        <v>64654</v>
      </c>
    </row>
    <row r="896" ht="16.5" customHeight="1" spans="1:8">
      <c r="A896" s="185"/>
      <c r="B896" s="186"/>
      <c r="C896" s="187" t="s">
        <v>806</v>
      </c>
      <c r="D896" s="186" t="s">
        <v>807</v>
      </c>
      <c r="E896" s="188" t="s">
        <v>808</v>
      </c>
      <c r="F896" s="189"/>
      <c r="G896" s="190"/>
      <c r="H896" s="189">
        <v>3685</v>
      </c>
    </row>
    <row r="897" ht="25.5" customHeight="1" spans="1:8">
      <c r="A897" s="185"/>
      <c r="B897" s="186"/>
      <c r="C897" s="187" t="s">
        <v>809</v>
      </c>
      <c r="D897" s="186" t="s">
        <v>810</v>
      </c>
      <c r="E897" s="188" t="s">
        <v>811</v>
      </c>
      <c r="F897" s="189"/>
      <c r="G897" s="190"/>
      <c r="H897" s="189">
        <v>3759</v>
      </c>
    </row>
    <row r="898" ht="28.5" customHeight="1" spans="1:8">
      <c r="A898" s="191"/>
      <c r="B898" s="192"/>
      <c r="C898" s="193" t="s">
        <v>812</v>
      </c>
      <c r="D898" s="192" t="s">
        <v>813</v>
      </c>
      <c r="E898" s="194"/>
      <c r="F898" s="195"/>
      <c r="G898" s="196"/>
      <c r="H898" s="195">
        <f>ROUND(H895+H896+H897,0)</f>
        <v>72098</v>
      </c>
    </row>
    <row r="899" ht="25.5" customHeight="1" spans="1:8">
      <c r="A899" s="185"/>
      <c r="B899" s="186"/>
      <c r="C899" s="187" t="s">
        <v>814</v>
      </c>
      <c r="D899" s="186" t="s">
        <v>815</v>
      </c>
      <c r="E899" s="197">
        <v>0.1</v>
      </c>
      <c r="F899" s="189"/>
      <c r="G899" s="190"/>
      <c r="H899" s="189">
        <f>ROUND(E899*H898,0)</f>
        <v>7210</v>
      </c>
    </row>
    <row r="900" ht="30.75" customHeight="1" spans="1:8">
      <c r="A900" s="198"/>
      <c r="B900" s="199"/>
      <c r="C900" s="200" t="s">
        <v>816</v>
      </c>
      <c r="D900" s="199" t="s">
        <v>817</v>
      </c>
      <c r="E900" s="201"/>
      <c r="F900" s="202"/>
      <c r="G900" s="203"/>
      <c r="H900" s="204">
        <f>ROUND(H898+H899,0)</f>
        <v>79308</v>
      </c>
    </row>
    <row r="901" ht="54.75" customHeight="1" spans="1:8">
      <c r="A901" s="166">
        <v>26</v>
      </c>
      <c r="B901" s="167" t="s">
        <v>453</v>
      </c>
      <c r="C901" s="168" t="s">
        <v>454</v>
      </c>
      <c r="D901" s="167" t="s">
        <v>450</v>
      </c>
      <c r="E901" s="169">
        <v>1</v>
      </c>
      <c r="F901" s="170"/>
      <c r="G901" s="166"/>
      <c r="H901" s="170"/>
    </row>
    <row r="902" ht="16.5" customHeight="1" spans="1:8">
      <c r="A902" s="171"/>
      <c r="B902" s="172"/>
      <c r="C902" s="173" t="s">
        <v>789</v>
      </c>
      <c r="D902" s="172"/>
      <c r="E902" s="174"/>
      <c r="F902" s="175"/>
      <c r="G902" s="176"/>
      <c r="H902" s="175">
        <f>ROUND(H907,0)</f>
        <v>5571</v>
      </c>
    </row>
    <row r="903" ht="16.5" customHeight="1" spans="2:8">
      <c r="B903" s="145" t="s">
        <v>587</v>
      </c>
      <c r="C903" s="146" t="s">
        <v>588</v>
      </c>
      <c r="D903" s="145" t="s">
        <v>518</v>
      </c>
      <c r="E903" s="177">
        <v>2.69528</v>
      </c>
      <c r="F903" s="148">
        <v>1140</v>
      </c>
      <c r="G903" s="144"/>
      <c r="H903" s="148">
        <f>ROUND(E903*F903,0)</f>
        <v>3073</v>
      </c>
    </row>
    <row r="904" ht="16.5" customHeight="1" spans="2:8">
      <c r="B904" s="145" t="s">
        <v>513</v>
      </c>
      <c r="C904" s="146" t="s">
        <v>514</v>
      </c>
      <c r="D904" s="145" t="s">
        <v>55</v>
      </c>
      <c r="E904" s="177">
        <v>0.00763</v>
      </c>
      <c r="F904" s="148">
        <v>258560</v>
      </c>
      <c r="G904" s="144"/>
      <c r="H904" s="148">
        <f>ROUND(E904*F904,0)</f>
        <v>1973</v>
      </c>
    </row>
    <row r="905" ht="16.5" customHeight="1" spans="2:8">
      <c r="B905" s="145" t="s">
        <v>565</v>
      </c>
      <c r="C905" s="146" t="s">
        <v>566</v>
      </c>
      <c r="D905" s="145" t="s">
        <v>567</v>
      </c>
      <c r="E905" s="177">
        <v>1.82</v>
      </c>
      <c r="F905" s="148">
        <v>8</v>
      </c>
      <c r="G905" s="144"/>
      <c r="H905" s="148">
        <f>ROUND(E905*F905,0)</f>
        <v>15</v>
      </c>
    </row>
    <row r="906" ht="16.5" customHeight="1" spans="2:8">
      <c r="B906" s="145" t="s">
        <v>793</v>
      </c>
      <c r="C906" s="146" t="s">
        <v>794</v>
      </c>
      <c r="D906" s="145" t="s">
        <v>792</v>
      </c>
      <c r="E906" s="177">
        <v>10</v>
      </c>
      <c r="F906" s="148">
        <f>ROUND(SUM(H903:H905)/100,0)</f>
        <v>51</v>
      </c>
      <c r="G906" s="144"/>
      <c r="H906" s="148">
        <f>ROUND(E906*F906,0)</f>
        <v>510</v>
      </c>
    </row>
    <row r="907" ht="16.5" customHeight="1" spans="2:8">
      <c r="B907" s="145"/>
      <c r="C907" s="146" t="s">
        <v>818</v>
      </c>
      <c r="D907" s="145"/>
      <c r="E907" s="205"/>
      <c r="F907" s="148"/>
      <c r="G907" s="144"/>
      <c r="H907" s="148">
        <f>ROUND(SUM(H903:H906),0)</f>
        <v>5571</v>
      </c>
    </row>
    <row r="908" ht="16.5" customHeight="1" spans="1:8">
      <c r="A908" s="171"/>
      <c r="B908" s="172"/>
      <c r="C908" s="173" t="s">
        <v>787</v>
      </c>
      <c r="D908" s="172"/>
      <c r="E908" s="174"/>
      <c r="F908" s="175"/>
      <c r="G908" s="176"/>
      <c r="H908" s="175">
        <f>ROUND(H909,0)</f>
        <v>109223</v>
      </c>
    </row>
    <row r="909" ht="16.5" customHeight="1" spans="2:8">
      <c r="B909" s="145" t="s">
        <v>602</v>
      </c>
      <c r="C909" s="146" t="s">
        <v>603</v>
      </c>
      <c r="D909" s="145" t="s">
        <v>594</v>
      </c>
      <c r="E909" s="177">
        <v>0.45</v>
      </c>
      <c r="F909" s="148">
        <v>242718</v>
      </c>
      <c r="G909" s="178">
        <v>1</v>
      </c>
      <c r="H909" s="148">
        <f>ROUND(E909*F909*G909,0)</f>
        <v>109223</v>
      </c>
    </row>
    <row r="910" ht="27.75" customHeight="1" spans="1:8">
      <c r="A910" s="179"/>
      <c r="B910" s="180"/>
      <c r="C910" s="181" t="s">
        <v>804</v>
      </c>
      <c r="D910" s="180" t="s">
        <v>805</v>
      </c>
      <c r="E910" s="182"/>
      <c r="F910" s="183"/>
      <c r="G910" s="184"/>
      <c r="H910" s="183">
        <f>ROUND(H902+H908,0)</f>
        <v>114794</v>
      </c>
    </row>
    <row r="911" ht="16.5" customHeight="1" spans="1:8">
      <c r="A911" s="185"/>
      <c r="B911" s="186"/>
      <c r="C911" s="187" t="s">
        <v>806</v>
      </c>
      <c r="D911" s="186" t="s">
        <v>807</v>
      </c>
      <c r="E911" s="188" t="s">
        <v>808</v>
      </c>
      <c r="F911" s="189"/>
      <c r="G911" s="190"/>
      <c r="H911" s="189">
        <v>6543</v>
      </c>
    </row>
    <row r="912" ht="25.5" customHeight="1" spans="1:8">
      <c r="A912" s="185"/>
      <c r="B912" s="186"/>
      <c r="C912" s="187" t="s">
        <v>809</v>
      </c>
      <c r="D912" s="186" t="s">
        <v>810</v>
      </c>
      <c r="E912" s="188" t="s">
        <v>811</v>
      </c>
      <c r="F912" s="189"/>
      <c r="G912" s="190"/>
      <c r="H912" s="189">
        <v>6674</v>
      </c>
    </row>
    <row r="913" ht="28.5" customHeight="1" spans="1:8">
      <c r="A913" s="191"/>
      <c r="B913" s="192"/>
      <c r="C913" s="193" t="s">
        <v>812</v>
      </c>
      <c r="D913" s="192" t="s">
        <v>813</v>
      </c>
      <c r="E913" s="194"/>
      <c r="F913" s="195"/>
      <c r="G913" s="196"/>
      <c r="H913" s="195">
        <f>ROUND(H910+H911+H912,0)</f>
        <v>128011</v>
      </c>
    </row>
    <row r="914" ht="25.5" customHeight="1" spans="1:8">
      <c r="A914" s="185"/>
      <c r="B914" s="186"/>
      <c r="C914" s="187" t="s">
        <v>814</v>
      </c>
      <c r="D914" s="186" t="s">
        <v>815</v>
      </c>
      <c r="E914" s="197">
        <v>0.1</v>
      </c>
      <c r="F914" s="189"/>
      <c r="G914" s="190"/>
      <c r="H914" s="189">
        <f>ROUND(E914*H913,0)</f>
        <v>12801</v>
      </c>
    </row>
    <row r="915" ht="30.75" customHeight="1" spans="1:8">
      <c r="A915" s="198"/>
      <c r="B915" s="199"/>
      <c r="C915" s="200" t="s">
        <v>816</v>
      </c>
      <c r="D915" s="199" t="s">
        <v>817</v>
      </c>
      <c r="E915" s="201"/>
      <c r="F915" s="202"/>
      <c r="G915" s="203"/>
      <c r="H915" s="204">
        <f>ROUND(H913+H914,0)</f>
        <v>140812</v>
      </c>
    </row>
    <row r="916" ht="54.75" customHeight="1" spans="1:8">
      <c r="A916" s="166">
        <v>27</v>
      </c>
      <c r="B916" s="167" t="s">
        <v>457</v>
      </c>
      <c r="C916" s="168" t="s">
        <v>458</v>
      </c>
      <c r="D916" s="167" t="s">
        <v>450</v>
      </c>
      <c r="E916" s="169">
        <v>1</v>
      </c>
      <c r="F916" s="170"/>
      <c r="G916" s="166"/>
      <c r="H916" s="170"/>
    </row>
    <row r="917" ht="16.5" customHeight="1" spans="1:8">
      <c r="A917" s="171"/>
      <c r="B917" s="172"/>
      <c r="C917" s="173" t="s">
        <v>789</v>
      </c>
      <c r="D917" s="172"/>
      <c r="E917" s="174"/>
      <c r="F917" s="175"/>
      <c r="G917" s="176"/>
      <c r="H917" s="175">
        <f>ROUND(H922,0)</f>
        <v>7948</v>
      </c>
    </row>
    <row r="918" ht="16.5" customHeight="1" spans="2:8">
      <c r="B918" s="145" t="s">
        <v>587</v>
      </c>
      <c r="C918" s="146" t="s">
        <v>588</v>
      </c>
      <c r="D918" s="145" t="s">
        <v>518</v>
      </c>
      <c r="E918" s="177">
        <v>3.8504</v>
      </c>
      <c r="F918" s="148">
        <v>1140</v>
      </c>
      <c r="G918" s="144"/>
      <c r="H918" s="148">
        <f>ROUND(E918*F918,0)</f>
        <v>4389</v>
      </c>
    </row>
    <row r="919" ht="16.5" customHeight="1" spans="2:8">
      <c r="B919" s="145" t="s">
        <v>513</v>
      </c>
      <c r="C919" s="146" t="s">
        <v>514</v>
      </c>
      <c r="D919" s="145" t="s">
        <v>55</v>
      </c>
      <c r="E919" s="177">
        <v>0.0109</v>
      </c>
      <c r="F919" s="148">
        <v>258560</v>
      </c>
      <c r="G919" s="144"/>
      <c r="H919" s="148">
        <f>ROUND(E919*F919,0)</f>
        <v>2818</v>
      </c>
    </row>
    <row r="920" ht="16.5" customHeight="1" spans="2:8">
      <c r="B920" s="145" t="s">
        <v>565</v>
      </c>
      <c r="C920" s="146" t="s">
        <v>566</v>
      </c>
      <c r="D920" s="145" t="s">
        <v>567</v>
      </c>
      <c r="E920" s="177">
        <v>2.6</v>
      </c>
      <c r="F920" s="148">
        <v>8</v>
      </c>
      <c r="G920" s="144"/>
      <c r="H920" s="148">
        <f>ROUND(E920*F920,0)</f>
        <v>21</v>
      </c>
    </row>
    <row r="921" ht="16.5" customHeight="1" spans="2:8">
      <c r="B921" s="145" t="s">
        <v>793</v>
      </c>
      <c r="C921" s="146" t="s">
        <v>794</v>
      </c>
      <c r="D921" s="145" t="s">
        <v>792</v>
      </c>
      <c r="E921" s="177">
        <v>10</v>
      </c>
      <c r="F921" s="148">
        <f>ROUND(SUM(H918:H920)/100,0)</f>
        <v>72</v>
      </c>
      <c r="G921" s="144"/>
      <c r="H921" s="148">
        <f>ROUND(E921*F921,0)</f>
        <v>720</v>
      </c>
    </row>
    <row r="922" ht="16.5" customHeight="1" spans="2:8">
      <c r="B922" s="145"/>
      <c r="C922" s="146" t="s">
        <v>818</v>
      </c>
      <c r="D922" s="145"/>
      <c r="E922" s="205"/>
      <c r="F922" s="148"/>
      <c r="G922" s="144"/>
      <c r="H922" s="148">
        <f>ROUND(SUM(H918:H921),0)</f>
        <v>7948</v>
      </c>
    </row>
    <row r="923" ht="16.5" customHeight="1" spans="1:8">
      <c r="A923" s="171"/>
      <c r="B923" s="172"/>
      <c r="C923" s="173" t="s">
        <v>787</v>
      </c>
      <c r="D923" s="172"/>
      <c r="E923" s="174"/>
      <c r="F923" s="175"/>
      <c r="G923" s="176"/>
      <c r="H923" s="175">
        <f>ROUND(H924,0)</f>
        <v>206310</v>
      </c>
    </row>
    <row r="924" ht="16.5" customHeight="1" spans="2:8">
      <c r="B924" s="145" t="s">
        <v>602</v>
      </c>
      <c r="C924" s="146" t="s">
        <v>603</v>
      </c>
      <c r="D924" s="145" t="s">
        <v>594</v>
      </c>
      <c r="E924" s="177">
        <v>0.85</v>
      </c>
      <c r="F924" s="148">
        <v>242718</v>
      </c>
      <c r="G924" s="178">
        <v>1</v>
      </c>
      <c r="H924" s="148">
        <f>ROUND(E924*F924*G924,0)</f>
        <v>206310</v>
      </c>
    </row>
    <row r="925" ht="27.75" customHeight="1" spans="1:8">
      <c r="A925" s="179"/>
      <c r="B925" s="180"/>
      <c r="C925" s="181" t="s">
        <v>804</v>
      </c>
      <c r="D925" s="180" t="s">
        <v>805</v>
      </c>
      <c r="E925" s="182"/>
      <c r="F925" s="183"/>
      <c r="G925" s="184"/>
      <c r="H925" s="183">
        <f>ROUND(H917+H923,0)</f>
        <v>214258</v>
      </c>
    </row>
    <row r="926" ht="16.5" customHeight="1" spans="1:8">
      <c r="A926" s="185"/>
      <c r="B926" s="186"/>
      <c r="C926" s="187" t="s">
        <v>806</v>
      </c>
      <c r="D926" s="186" t="s">
        <v>807</v>
      </c>
      <c r="E926" s="188" t="s">
        <v>808</v>
      </c>
      <c r="F926" s="189"/>
      <c r="G926" s="190"/>
      <c r="H926" s="189">
        <v>12213</v>
      </c>
    </row>
    <row r="927" ht="25.5" customHeight="1" spans="1:8">
      <c r="A927" s="185"/>
      <c r="B927" s="186"/>
      <c r="C927" s="187" t="s">
        <v>809</v>
      </c>
      <c r="D927" s="186" t="s">
        <v>810</v>
      </c>
      <c r="E927" s="188" t="s">
        <v>811</v>
      </c>
      <c r="F927" s="189"/>
      <c r="G927" s="190"/>
      <c r="H927" s="189">
        <v>12456</v>
      </c>
    </row>
    <row r="928" ht="28.5" customHeight="1" spans="1:8">
      <c r="A928" s="191"/>
      <c r="B928" s="192"/>
      <c r="C928" s="193" t="s">
        <v>812</v>
      </c>
      <c r="D928" s="192" t="s">
        <v>813</v>
      </c>
      <c r="E928" s="194"/>
      <c r="F928" s="195"/>
      <c r="G928" s="196"/>
      <c r="H928" s="195">
        <f>ROUND(H925+H926+H927,0)</f>
        <v>238927</v>
      </c>
    </row>
    <row r="929" ht="25.5" customHeight="1" spans="1:8">
      <c r="A929" s="185"/>
      <c r="B929" s="186"/>
      <c r="C929" s="187" t="s">
        <v>814</v>
      </c>
      <c r="D929" s="186" t="s">
        <v>815</v>
      </c>
      <c r="E929" s="197">
        <v>0.1</v>
      </c>
      <c r="F929" s="189"/>
      <c r="G929" s="190"/>
      <c r="H929" s="189">
        <f>ROUND(E929*H928,0)</f>
        <v>23893</v>
      </c>
    </row>
    <row r="930" ht="30.75" customHeight="1" spans="1:8">
      <c r="A930" s="198"/>
      <c r="B930" s="199"/>
      <c r="C930" s="200" t="s">
        <v>816</v>
      </c>
      <c r="D930" s="199" t="s">
        <v>817</v>
      </c>
      <c r="E930" s="201"/>
      <c r="F930" s="202"/>
      <c r="G930" s="203"/>
      <c r="H930" s="204">
        <f>ROUND(H928+H929,0)</f>
        <v>262820</v>
      </c>
    </row>
    <row r="931" ht="54.75" customHeight="1" spans="1:8">
      <c r="A931" s="166">
        <v>28</v>
      </c>
      <c r="B931" s="167" t="s">
        <v>461</v>
      </c>
      <c r="C931" s="168" t="s">
        <v>462</v>
      </c>
      <c r="D931" s="167" t="s">
        <v>107</v>
      </c>
      <c r="E931" s="169">
        <v>1</v>
      </c>
      <c r="F931" s="170"/>
      <c r="G931" s="166"/>
      <c r="H931" s="170"/>
    </row>
    <row r="932" ht="16.5" customHeight="1" spans="1:8">
      <c r="A932" s="171"/>
      <c r="B932" s="172"/>
      <c r="C932" s="173" t="s">
        <v>789</v>
      </c>
      <c r="D932" s="172"/>
      <c r="E932" s="174"/>
      <c r="F932" s="175"/>
      <c r="G932" s="176"/>
      <c r="H932" s="175">
        <f>ROUND(H938,0)</f>
        <v>3338050</v>
      </c>
    </row>
    <row r="933" ht="16.5" customHeight="1" spans="2:8">
      <c r="B933" s="145" t="s">
        <v>554</v>
      </c>
      <c r="C933" s="146" t="s">
        <v>555</v>
      </c>
      <c r="D933" s="145" t="s">
        <v>55</v>
      </c>
      <c r="E933" s="177">
        <v>0.792</v>
      </c>
      <c r="F933" s="148">
        <v>2000000</v>
      </c>
      <c r="G933" s="144"/>
      <c r="H933" s="148">
        <f>ROUND(E933*F933,0)</f>
        <v>1584000</v>
      </c>
    </row>
    <row r="934" ht="16.5" customHeight="1" spans="2:8">
      <c r="B934" s="145" t="s">
        <v>549</v>
      </c>
      <c r="C934" s="146" t="s">
        <v>550</v>
      </c>
      <c r="D934" s="145" t="s">
        <v>55</v>
      </c>
      <c r="E934" s="177">
        <v>0.112</v>
      </c>
      <c r="F934" s="148">
        <v>2000000</v>
      </c>
      <c r="G934" s="144"/>
      <c r="H934" s="148">
        <f>ROUND(E934*F934,0)</f>
        <v>224000</v>
      </c>
    </row>
    <row r="935" ht="16.5" customHeight="1" spans="2:8">
      <c r="B935" s="145" t="s">
        <v>546</v>
      </c>
      <c r="C935" s="146" t="s">
        <v>547</v>
      </c>
      <c r="D935" s="145" t="s">
        <v>55</v>
      </c>
      <c r="E935" s="177">
        <v>0.668</v>
      </c>
      <c r="F935" s="148">
        <v>2000000</v>
      </c>
      <c r="G935" s="144"/>
      <c r="H935" s="148">
        <f>ROUND(E935*F935,0)</f>
        <v>1336000</v>
      </c>
    </row>
    <row r="936" ht="16.5" customHeight="1" spans="2:8">
      <c r="B936" s="145" t="s">
        <v>536</v>
      </c>
      <c r="C936" s="146" t="s">
        <v>537</v>
      </c>
      <c r="D936" s="145" t="s">
        <v>518</v>
      </c>
      <c r="E936" s="177">
        <v>8.05</v>
      </c>
      <c r="F936" s="148">
        <v>20000</v>
      </c>
      <c r="G936" s="144"/>
      <c r="H936" s="148">
        <f>ROUND(E936*F936,0)</f>
        <v>161000</v>
      </c>
    </row>
    <row r="937" ht="16.5" customHeight="1" spans="2:8">
      <c r="B937" s="145" t="s">
        <v>793</v>
      </c>
      <c r="C937" s="146" t="s">
        <v>794</v>
      </c>
      <c r="D937" s="145" t="s">
        <v>792</v>
      </c>
      <c r="E937" s="177">
        <v>1</v>
      </c>
      <c r="F937" s="148">
        <f>ROUND(SUM(H933:H936)/100,0)</f>
        <v>33050</v>
      </c>
      <c r="G937" s="144"/>
      <c r="H937" s="148">
        <f>ROUND(E937*F937,0)</f>
        <v>33050</v>
      </c>
    </row>
    <row r="938" ht="16.5" customHeight="1" spans="2:8">
      <c r="B938" s="145"/>
      <c r="C938" s="146" t="s">
        <v>818</v>
      </c>
      <c r="D938" s="145"/>
      <c r="E938" s="205"/>
      <c r="F938" s="148"/>
      <c r="G938" s="144"/>
      <c r="H938" s="148">
        <f>ROUND(SUM(H933:H937),0)</f>
        <v>3338050</v>
      </c>
    </row>
    <row r="939" ht="16.5" customHeight="1" spans="1:8">
      <c r="A939" s="171"/>
      <c r="B939" s="172"/>
      <c r="C939" s="173" t="s">
        <v>787</v>
      </c>
      <c r="D939" s="172"/>
      <c r="E939" s="174"/>
      <c r="F939" s="175"/>
      <c r="G939" s="176"/>
      <c r="H939" s="175">
        <f>ROUND(H940,0)</f>
        <v>6910181</v>
      </c>
    </row>
    <row r="940" ht="16.5" customHeight="1" spans="2:8">
      <c r="B940" s="145" t="s">
        <v>602</v>
      </c>
      <c r="C940" s="146" t="s">
        <v>603</v>
      </c>
      <c r="D940" s="145" t="s">
        <v>594</v>
      </c>
      <c r="E940" s="177">
        <v>28.47</v>
      </c>
      <c r="F940" s="148">
        <v>242718</v>
      </c>
      <c r="G940" s="178">
        <v>1</v>
      </c>
      <c r="H940" s="148">
        <f>ROUND(E940*F940*G940,0)</f>
        <v>6910181</v>
      </c>
    </row>
    <row r="941" ht="27.75" customHeight="1" spans="1:8">
      <c r="A941" s="179"/>
      <c r="B941" s="180"/>
      <c r="C941" s="181" t="s">
        <v>804</v>
      </c>
      <c r="D941" s="180" t="s">
        <v>805</v>
      </c>
      <c r="E941" s="182"/>
      <c r="F941" s="183"/>
      <c r="G941" s="184"/>
      <c r="H941" s="183">
        <f>ROUND(H932+H939,0)</f>
        <v>10248231</v>
      </c>
    </row>
    <row r="942" ht="16.5" customHeight="1" spans="1:8">
      <c r="A942" s="185"/>
      <c r="B942" s="186"/>
      <c r="C942" s="187" t="s">
        <v>806</v>
      </c>
      <c r="D942" s="186" t="s">
        <v>807</v>
      </c>
      <c r="E942" s="188" t="s">
        <v>808</v>
      </c>
      <c r="F942" s="189"/>
      <c r="G942" s="190"/>
      <c r="H942" s="189">
        <v>584149</v>
      </c>
    </row>
    <row r="943" ht="25.5" customHeight="1" spans="1:8">
      <c r="A943" s="185"/>
      <c r="B943" s="186"/>
      <c r="C943" s="187" t="s">
        <v>809</v>
      </c>
      <c r="D943" s="186" t="s">
        <v>810</v>
      </c>
      <c r="E943" s="188" t="s">
        <v>811</v>
      </c>
      <c r="F943" s="189"/>
      <c r="G943" s="190"/>
      <c r="H943" s="189">
        <v>595781</v>
      </c>
    </row>
    <row r="944" ht="28.5" customHeight="1" spans="1:8">
      <c r="A944" s="191"/>
      <c r="B944" s="192"/>
      <c r="C944" s="193" t="s">
        <v>812</v>
      </c>
      <c r="D944" s="192" t="s">
        <v>813</v>
      </c>
      <c r="E944" s="194"/>
      <c r="F944" s="195"/>
      <c r="G944" s="196"/>
      <c r="H944" s="195">
        <f>ROUND(H941+H942+H943,0)</f>
        <v>11428161</v>
      </c>
    </row>
    <row r="945" ht="25.5" customHeight="1" spans="1:8">
      <c r="A945" s="185"/>
      <c r="B945" s="186"/>
      <c r="C945" s="187" t="s">
        <v>814</v>
      </c>
      <c r="D945" s="186" t="s">
        <v>815</v>
      </c>
      <c r="E945" s="197">
        <v>0.1</v>
      </c>
      <c r="F945" s="189"/>
      <c r="G945" s="190"/>
      <c r="H945" s="189">
        <f>ROUND(E945*H944,0)</f>
        <v>1142816</v>
      </c>
    </row>
    <row r="946" ht="30.75" customHeight="1" spans="1:8">
      <c r="A946" s="198"/>
      <c r="B946" s="199"/>
      <c r="C946" s="200" t="s">
        <v>816</v>
      </c>
      <c r="D946" s="199" t="s">
        <v>817</v>
      </c>
      <c r="E946" s="201"/>
      <c r="F946" s="202"/>
      <c r="G946" s="203"/>
      <c r="H946" s="204">
        <f>ROUND(H944+H945,0)</f>
        <v>12570977</v>
      </c>
    </row>
    <row r="947" ht="54.75" customHeight="1" spans="1:8">
      <c r="A947" s="166">
        <v>29</v>
      </c>
      <c r="B947" s="167" t="s">
        <v>466</v>
      </c>
      <c r="C947" s="168" t="s">
        <v>467</v>
      </c>
      <c r="D947" s="167" t="s">
        <v>114</v>
      </c>
      <c r="E947" s="169">
        <v>1</v>
      </c>
      <c r="F947" s="170"/>
      <c r="G947" s="166"/>
      <c r="H947" s="170"/>
    </row>
    <row r="948" ht="16.5" customHeight="1" spans="1:8">
      <c r="A948" s="171"/>
      <c r="B948" s="172"/>
      <c r="C948" s="173" t="s">
        <v>789</v>
      </c>
      <c r="D948" s="172"/>
      <c r="E948" s="174"/>
      <c r="F948" s="175"/>
      <c r="G948" s="176"/>
      <c r="H948" s="175">
        <f>ROUND(H951,0)</f>
        <v>13392900</v>
      </c>
    </row>
    <row r="949" ht="16.5" customHeight="1" spans="2:8">
      <c r="B949" s="145" t="s">
        <v>572</v>
      </c>
      <c r="C949" s="146" t="s">
        <v>573</v>
      </c>
      <c r="D949" s="145" t="s">
        <v>518</v>
      </c>
      <c r="E949" s="177">
        <v>1005</v>
      </c>
      <c r="F949" s="148">
        <v>12900</v>
      </c>
      <c r="G949" s="144"/>
      <c r="H949" s="148">
        <f>ROUND(E949*F949,0)</f>
        <v>12964500</v>
      </c>
    </row>
    <row r="950" ht="16.5" customHeight="1" spans="2:8">
      <c r="B950" s="145" t="s">
        <v>521</v>
      </c>
      <c r="C950" s="146" t="s">
        <v>522</v>
      </c>
      <c r="D950" s="145" t="s">
        <v>518</v>
      </c>
      <c r="E950" s="177">
        <v>21.42</v>
      </c>
      <c r="F950" s="148">
        <v>20000</v>
      </c>
      <c r="G950" s="144"/>
      <c r="H950" s="148">
        <f>ROUND(E950*F950,0)</f>
        <v>428400</v>
      </c>
    </row>
    <row r="951" ht="16.5" customHeight="1" spans="2:8">
      <c r="B951" s="145"/>
      <c r="C951" s="146" t="s">
        <v>818</v>
      </c>
      <c r="D951" s="145"/>
      <c r="E951" s="205"/>
      <c r="F951" s="148"/>
      <c r="G951" s="144"/>
      <c r="H951" s="148">
        <f>ROUND(SUM(H949:H950),0)</f>
        <v>13392900</v>
      </c>
    </row>
    <row r="952" ht="16.5" customHeight="1" spans="1:8">
      <c r="A952" s="171"/>
      <c r="B952" s="172"/>
      <c r="C952" s="173" t="s">
        <v>787</v>
      </c>
      <c r="D952" s="172"/>
      <c r="E952" s="174"/>
      <c r="F952" s="175"/>
      <c r="G952" s="176"/>
      <c r="H952" s="175">
        <f>ROUND(H953,0)</f>
        <v>5451523</v>
      </c>
    </row>
    <row r="953" ht="16.5" customHeight="1" spans="2:8">
      <c r="B953" s="145" t="s">
        <v>596</v>
      </c>
      <c r="C953" s="146" t="s">
        <v>597</v>
      </c>
      <c r="D953" s="145" t="s">
        <v>594</v>
      </c>
      <c r="E953" s="177">
        <v>24.32</v>
      </c>
      <c r="F953" s="148">
        <v>224158</v>
      </c>
      <c r="G953" s="178">
        <v>1</v>
      </c>
      <c r="H953" s="148">
        <f>ROUND(E953*F953*G953,0)</f>
        <v>5451523</v>
      </c>
    </row>
    <row r="954" ht="16.5" customHeight="1" spans="1:8">
      <c r="A954" s="171"/>
      <c r="B954" s="172"/>
      <c r="C954" s="173" t="s">
        <v>788</v>
      </c>
      <c r="D954" s="172"/>
      <c r="E954" s="174"/>
      <c r="F954" s="175"/>
      <c r="G954" s="176"/>
      <c r="H954" s="175">
        <f>ROUND(H959,0)</f>
        <v>208988</v>
      </c>
    </row>
    <row r="955" ht="16.5" customHeight="1" spans="2:8">
      <c r="B955" s="145" t="s">
        <v>621</v>
      </c>
      <c r="C955" s="146" t="s">
        <v>622</v>
      </c>
      <c r="D955" s="145" t="s">
        <v>612</v>
      </c>
      <c r="E955" s="177">
        <v>0.4</v>
      </c>
      <c r="F955" s="148">
        <v>240449</v>
      </c>
      <c r="G955" s="178">
        <v>1</v>
      </c>
      <c r="H955" s="148">
        <f>ROUND(E955*F955*G955,0)</f>
        <v>96180</v>
      </c>
    </row>
    <row r="956" ht="16.5" customHeight="1" spans="2:8">
      <c r="B956" s="145" t="s">
        <v>656</v>
      </c>
      <c r="C956" s="146" t="s">
        <v>657</v>
      </c>
      <c r="D956" s="145" t="s">
        <v>612</v>
      </c>
      <c r="E956" s="177">
        <v>0.03</v>
      </c>
      <c r="F956" s="148">
        <v>740827</v>
      </c>
      <c r="G956" s="178">
        <v>1</v>
      </c>
      <c r="H956" s="148">
        <f>ROUND(E956*F956*G956,0)</f>
        <v>22225</v>
      </c>
    </row>
    <row r="957" ht="16.5" customHeight="1" spans="2:8">
      <c r="B957" s="145" t="s">
        <v>614</v>
      </c>
      <c r="C957" s="146" t="s">
        <v>615</v>
      </c>
      <c r="D957" s="145" t="s">
        <v>612</v>
      </c>
      <c r="E957" s="177">
        <v>0.03</v>
      </c>
      <c r="F957" s="148">
        <v>2882825</v>
      </c>
      <c r="G957" s="178">
        <v>1</v>
      </c>
      <c r="H957" s="148">
        <f>ROUND(E957*F957*G957,0)</f>
        <v>86485</v>
      </c>
    </row>
    <row r="958" ht="16.5" customHeight="1" spans="2:8">
      <c r="B958" s="145" t="s">
        <v>790</v>
      </c>
      <c r="C958" s="146" t="s">
        <v>791</v>
      </c>
      <c r="D958" s="145" t="s">
        <v>792</v>
      </c>
      <c r="E958" s="177">
        <v>2</v>
      </c>
      <c r="F958" s="148">
        <f>ROUND(SUM(H955:H957)/100,0)</f>
        <v>2049</v>
      </c>
      <c r="G958" s="144"/>
      <c r="H958" s="148">
        <f>ROUND(E958*F958,0)</f>
        <v>4098</v>
      </c>
    </row>
    <row r="959" ht="16.5" customHeight="1" spans="2:8">
      <c r="B959" s="145"/>
      <c r="C959" s="146" t="s">
        <v>818</v>
      </c>
      <c r="D959" s="145"/>
      <c r="E959" s="205"/>
      <c r="F959" s="148"/>
      <c r="G959" s="144"/>
      <c r="H959" s="148">
        <f>ROUND(SUM(H955:H958),0)</f>
        <v>208988</v>
      </c>
    </row>
    <row r="960" ht="27.75" customHeight="1" spans="1:8">
      <c r="A960" s="179"/>
      <c r="B960" s="180"/>
      <c r="C960" s="181" t="s">
        <v>804</v>
      </c>
      <c r="D960" s="180" t="s">
        <v>805</v>
      </c>
      <c r="E960" s="182"/>
      <c r="F960" s="183"/>
      <c r="G960" s="184"/>
      <c r="H960" s="183">
        <f>ROUND(H948+H952+H954,0)</f>
        <v>19053411</v>
      </c>
    </row>
    <row r="961" ht="16.5" customHeight="1" spans="1:8">
      <c r="A961" s="185"/>
      <c r="B961" s="186"/>
      <c r="C961" s="187" t="s">
        <v>806</v>
      </c>
      <c r="D961" s="186" t="s">
        <v>807</v>
      </c>
      <c r="E961" s="188" t="s">
        <v>808</v>
      </c>
      <c r="F961" s="189"/>
      <c r="G961" s="190"/>
      <c r="H961" s="189">
        <v>1086044</v>
      </c>
    </row>
    <row r="962" ht="25.5" customHeight="1" spans="1:8">
      <c r="A962" s="185"/>
      <c r="B962" s="186"/>
      <c r="C962" s="187" t="s">
        <v>809</v>
      </c>
      <c r="D962" s="186" t="s">
        <v>810</v>
      </c>
      <c r="E962" s="188" t="s">
        <v>811</v>
      </c>
      <c r="F962" s="189"/>
      <c r="G962" s="190"/>
      <c r="H962" s="189">
        <v>1107670</v>
      </c>
    </row>
    <row r="963" ht="28.5" customHeight="1" spans="1:8">
      <c r="A963" s="191"/>
      <c r="B963" s="192"/>
      <c r="C963" s="193" t="s">
        <v>812</v>
      </c>
      <c r="D963" s="192" t="s">
        <v>813</v>
      </c>
      <c r="E963" s="194"/>
      <c r="F963" s="195"/>
      <c r="G963" s="196"/>
      <c r="H963" s="195">
        <f>ROUND(H960+H961+H962,0)</f>
        <v>21247125</v>
      </c>
    </row>
    <row r="964" ht="25.5" customHeight="1" spans="1:8">
      <c r="A964" s="185"/>
      <c r="B964" s="186"/>
      <c r="C964" s="187" t="s">
        <v>814</v>
      </c>
      <c r="D964" s="186" t="s">
        <v>815</v>
      </c>
      <c r="E964" s="197">
        <v>0.1</v>
      </c>
      <c r="F964" s="189"/>
      <c r="G964" s="190"/>
      <c r="H964" s="189">
        <f>ROUND(E964*H963,0)</f>
        <v>2124713</v>
      </c>
    </row>
    <row r="965" ht="30.75" customHeight="1" spans="1:8">
      <c r="A965" s="198"/>
      <c r="B965" s="199"/>
      <c r="C965" s="200" t="s">
        <v>816</v>
      </c>
      <c r="D965" s="199" t="s">
        <v>817</v>
      </c>
      <c r="E965" s="201"/>
      <c r="F965" s="202"/>
      <c r="G965" s="203"/>
      <c r="H965" s="204">
        <f>ROUND(H963+H964,0)</f>
        <v>23371838</v>
      </c>
    </row>
    <row r="966" ht="54.75" customHeight="1" spans="1:8">
      <c r="A966" s="166">
        <v>30</v>
      </c>
      <c r="B966" s="167" t="s">
        <v>470</v>
      </c>
      <c r="C966" s="168" t="s">
        <v>471</v>
      </c>
      <c r="D966" s="167" t="s">
        <v>55</v>
      </c>
      <c r="E966" s="169">
        <v>1</v>
      </c>
      <c r="F966" s="170"/>
      <c r="G966" s="166"/>
      <c r="H966" s="170"/>
    </row>
    <row r="967" ht="16.5" customHeight="1" spans="1:8">
      <c r="A967" s="171"/>
      <c r="B967" s="172"/>
      <c r="C967" s="173" t="s">
        <v>789</v>
      </c>
      <c r="D967" s="172"/>
      <c r="E967" s="174"/>
      <c r="F967" s="175"/>
      <c r="G967" s="176"/>
      <c r="H967" s="175">
        <f>ROUND(H973,0)</f>
        <v>767021</v>
      </c>
    </row>
    <row r="968" ht="16.5" customHeight="1" spans="2:8">
      <c r="B968" s="145" t="s">
        <v>587</v>
      </c>
      <c r="C968" s="146" t="s">
        <v>588</v>
      </c>
      <c r="D968" s="145" t="s">
        <v>518</v>
      </c>
      <c r="E968" s="177">
        <v>350.55</v>
      </c>
      <c r="F968" s="148">
        <v>1140</v>
      </c>
      <c r="G968" s="144"/>
      <c r="H968" s="148">
        <f>ROUND(E968*F968,0)</f>
        <v>399627</v>
      </c>
    </row>
    <row r="969" ht="16.5" customHeight="1" spans="2:8">
      <c r="B969" s="145" t="s">
        <v>513</v>
      </c>
      <c r="C969" s="146" t="s">
        <v>514</v>
      </c>
      <c r="D969" s="145" t="s">
        <v>55</v>
      </c>
      <c r="E969" s="177">
        <v>0.480725</v>
      </c>
      <c r="F969" s="148">
        <v>258560</v>
      </c>
      <c r="G969" s="144"/>
      <c r="H969" s="148">
        <f>ROUND(E969*F969,0)</f>
        <v>124296</v>
      </c>
    </row>
    <row r="970" ht="16.5" customHeight="1" spans="2:8">
      <c r="B970" s="145" t="s">
        <v>527</v>
      </c>
      <c r="C970" s="146" t="s">
        <v>528</v>
      </c>
      <c r="D970" s="145" t="s">
        <v>55</v>
      </c>
      <c r="E970" s="177">
        <v>0.89995</v>
      </c>
      <c r="F970" s="148">
        <v>260000</v>
      </c>
      <c r="G970" s="144"/>
      <c r="H970" s="148">
        <f>ROUND(E970*F970,0)</f>
        <v>233987</v>
      </c>
    </row>
    <row r="971" ht="16.5" customHeight="1" spans="2:8">
      <c r="B971" s="145" t="s">
        <v>565</v>
      </c>
      <c r="C971" s="146" t="s">
        <v>566</v>
      </c>
      <c r="D971" s="145" t="s">
        <v>567</v>
      </c>
      <c r="E971" s="177">
        <v>189.625</v>
      </c>
      <c r="F971" s="148">
        <v>8</v>
      </c>
      <c r="G971" s="144"/>
      <c r="H971" s="148">
        <f>ROUND(E971*F971,0)</f>
        <v>1517</v>
      </c>
    </row>
    <row r="972" ht="16.5" customHeight="1" spans="2:8">
      <c r="B972" s="145" t="s">
        <v>793</v>
      </c>
      <c r="C972" s="146" t="s">
        <v>794</v>
      </c>
      <c r="D972" s="145" t="s">
        <v>792</v>
      </c>
      <c r="E972" s="177">
        <v>1</v>
      </c>
      <c r="F972" s="148">
        <f>ROUND(SUM(H968:H971)/100,0)</f>
        <v>7594</v>
      </c>
      <c r="G972" s="144"/>
      <c r="H972" s="148">
        <f>ROUND(E972*F972,0)</f>
        <v>7594</v>
      </c>
    </row>
    <row r="973" ht="16.5" customHeight="1" spans="2:8">
      <c r="B973" s="145"/>
      <c r="C973" s="146" t="s">
        <v>818</v>
      </c>
      <c r="D973" s="145"/>
      <c r="E973" s="205"/>
      <c r="F973" s="148"/>
      <c r="G973" s="144"/>
      <c r="H973" s="148">
        <f>ROUND(SUM(H968:H972),0)</f>
        <v>767021</v>
      </c>
    </row>
    <row r="974" ht="16.5" customHeight="1" spans="1:8">
      <c r="A974" s="171"/>
      <c r="B974" s="172"/>
      <c r="C974" s="173" t="s">
        <v>787</v>
      </c>
      <c r="D974" s="172"/>
      <c r="E974" s="174"/>
      <c r="F974" s="175"/>
      <c r="G974" s="176"/>
      <c r="H974" s="175">
        <f>ROUND(H975,0)</f>
        <v>851800</v>
      </c>
    </row>
    <row r="975" ht="16.5" customHeight="1" spans="2:8">
      <c r="B975" s="145" t="s">
        <v>596</v>
      </c>
      <c r="C975" s="146" t="s">
        <v>597</v>
      </c>
      <c r="D975" s="145" t="s">
        <v>594</v>
      </c>
      <c r="E975" s="177">
        <v>3.8</v>
      </c>
      <c r="F975" s="148">
        <v>224158</v>
      </c>
      <c r="G975" s="178">
        <v>1</v>
      </c>
      <c r="H975" s="148">
        <f>ROUND(E975*F975*G975,0)</f>
        <v>851800</v>
      </c>
    </row>
    <row r="976" ht="16.5" customHeight="1" spans="1:8">
      <c r="A976" s="171"/>
      <c r="B976" s="172"/>
      <c r="C976" s="173" t="s">
        <v>788</v>
      </c>
      <c r="D976" s="172"/>
      <c r="E976" s="174"/>
      <c r="F976" s="175"/>
      <c r="G976" s="176"/>
      <c r="H976" s="175">
        <f>ROUND(H980,0)</f>
        <v>93049</v>
      </c>
    </row>
    <row r="977" ht="16.5" customHeight="1" spans="2:8">
      <c r="B977" s="145" t="s">
        <v>642</v>
      </c>
      <c r="C977" s="146" t="s">
        <v>643</v>
      </c>
      <c r="D977" s="145" t="s">
        <v>612</v>
      </c>
      <c r="E977" s="177">
        <v>0.095</v>
      </c>
      <c r="F977" s="148">
        <v>301306</v>
      </c>
      <c r="G977" s="178">
        <v>1</v>
      </c>
      <c r="H977" s="148">
        <f>ROUND(E977*F977*G977,0)</f>
        <v>28624</v>
      </c>
    </row>
    <row r="978" ht="16.5" customHeight="1" spans="2:8">
      <c r="B978" s="145" t="s">
        <v>633</v>
      </c>
      <c r="C978" s="146" t="s">
        <v>634</v>
      </c>
      <c r="D978" s="145" t="s">
        <v>612</v>
      </c>
      <c r="E978" s="177">
        <v>0.089</v>
      </c>
      <c r="F978" s="148">
        <v>237717</v>
      </c>
      <c r="G978" s="178">
        <v>1</v>
      </c>
      <c r="H978" s="148">
        <f>ROUND(E978*F978*G978,0)</f>
        <v>21157</v>
      </c>
    </row>
    <row r="979" ht="16.5" customHeight="1" spans="2:8">
      <c r="B979" s="145" t="s">
        <v>645</v>
      </c>
      <c r="C979" s="146" t="s">
        <v>646</v>
      </c>
      <c r="D979" s="145" t="s">
        <v>612</v>
      </c>
      <c r="E979" s="177">
        <v>0.11</v>
      </c>
      <c r="F979" s="148">
        <v>393344</v>
      </c>
      <c r="G979" s="178">
        <v>1</v>
      </c>
      <c r="H979" s="148">
        <f>ROUND(E979*F979*G979,0)</f>
        <v>43268</v>
      </c>
    </row>
    <row r="980" ht="16.5" customHeight="1" spans="2:8">
      <c r="B980" s="145"/>
      <c r="C980" s="146" t="s">
        <v>818</v>
      </c>
      <c r="D980" s="145"/>
      <c r="E980" s="205"/>
      <c r="F980" s="148"/>
      <c r="G980" s="144"/>
      <c r="H980" s="148">
        <f>ROUND(SUM(H977:H979),0)</f>
        <v>93049</v>
      </c>
    </row>
    <row r="981" ht="27.75" customHeight="1" spans="1:8">
      <c r="A981" s="179"/>
      <c r="B981" s="180"/>
      <c r="C981" s="181" t="s">
        <v>804</v>
      </c>
      <c r="D981" s="180" t="s">
        <v>805</v>
      </c>
      <c r="E981" s="182"/>
      <c r="F981" s="183"/>
      <c r="G981" s="184"/>
      <c r="H981" s="183">
        <f>ROUND(H967+H974+H976,0)</f>
        <v>1711870</v>
      </c>
    </row>
    <row r="982" ht="16.5" customHeight="1" spans="1:8">
      <c r="A982" s="185"/>
      <c r="B982" s="186"/>
      <c r="C982" s="187" t="s">
        <v>806</v>
      </c>
      <c r="D982" s="186" t="s">
        <v>807</v>
      </c>
      <c r="E982" s="188" t="s">
        <v>808</v>
      </c>
      <c r="F982" s="189"/>
      <c r="G982" s="190"/>
      <c r="H982" s="189">
        <v>97577</v>
      </c>
    </row>
    <row r="983" ht="25.5" customHeight="1" spans="1:8">
      <c r="A983" s="185"/>
      <c r="B983" s="186"/>
      <c r="C983" s="187" t="s">
        <v>809</v>
      </c>
      <c r="D983" s="186" t="s">
        <v>810</v>
      </c>
      <c r="E983" s="188" t="s">
        <v>811</v>
      </c>
      <c r="F983" s="189"/>
      <c r="G983" s="190"/>
      <c r="H983" s="189">
        <v>99520</v>
      </c>
    </row>
    <row r="984" ht="28.5" customHeight="1" spans="1:8">
      <c r="A984" s="191"/>
      <c r="B984" s="192"/>
      <c r="C984" s="193" t="s">
        <v>812</v>
      </c>
      <c r="D984" s="192" t="s">
        <v>813</v>
      </c>
      <c r="E984" s="194"/>
      <c r="F984" s="195"/>
      <c r="G984" s="196"/>
      <c r="H984" s="195">
        <f>ROUND(H981+H982+H983,0)</f>
        <v>1908967</v>
      </c>
    </row>
    <row r="985" ht="25.5" customHeight="1" spans="1:8">
      <c r="A985" s="185"/>
      <c r="B985" s="186"/>
      <c r="C985" s="187" t="s">
        <v>814</v>
      </c>
      <c r="D985" s="186" t="s">
        <v>815</v>
      </c>
      <c r="E985" s="197">
        <v>0.1</v>
      </c>
      <c r="F985" s="189"/>
      <c r="G985" s="190"/>
      <c r="H985" s="189">
        <f>ROUND(E985*H984,0)</f>
        <v>190897</v>
      </c>
    </row>
    <row r="986" ht="30.75" customHeight="1" spans="1:8">
      <c r="A986" s="198"/>
      <c r="B986" s="199"/>
      <c r="C986" s="200" t="s">
        <v>816</v>
      </c>
      <c r="D986" s="199" t="s">
        <v>817</v>
      </c>
      <c r="E986" s="201"/>
      <c r="F986" s="202"/>
      <c r="G986" s="203"/>
      <c r="H986" s="204">
        <f>ROUND(H984+H985,0)</f>
        <v>2099864</v>
      </c>
    </row>
    <row r="987" ht="29.25" customHeight="1" spans="1:8">
      <c r="A987" s="166">
        <v>31</v>
      </c>
      <c r="B987" s="167" t="s">
        <v>476</v>
      </c>
      <c r="C987" s="168" t="s">
        <v>477</v>
      </c>
      <c r="D987" s="167" t="s">
        <v>107</v>
      </c>
      <c r="E987" s="169">
        <v>1</v>
      </c>
      <c r="F987" s="170"/>
      <c r="G987" s="166"/>
      <c r="H987" s="170"/>
    </row>
    <row r="988" ht="16.5" customHeight="1" spans="1:8">
      <c r="A988" s="171"/>
      <c r="B988" s="172"/>
      <c r="C988" s="173" t="s">
        <v>789</v>
      </c>
      <c r="D988" s="172"/>
      <c r="E988" s="174"/>
      <c r="F988" s="175"/>
      <c r="G988" s="176"/>
      <c r="H988" s="175">
        <f>ROUND(H994,0)</f>
        <v>3900620</v>
      </c>
    </row>
    <row r="989" ht="16.5" customHeight="1" spans="2:8">
      <c r="B989" s="145" t="s">
        <v>554</v>
      </c>
      <c r="C989" s="146" t="s">
        <v>555</v>
      </c>
      <c r="D989" s="145" t="s">
        <v>55</v>
      </c>
      <c r="E989" s="177">
        <v>0.792</v>
      </c>
      <c r="F989" s="148">
        <v>2000000</v>
      </c>
      <c r="G989" s="144"/>
      <c r="H989" s="148">
        <f>ROUND(E989*F989,0)</f>
        <v>1584000</v>
      </c>
    </row>
    <row r="990" ht="16.5" customHeight="1" spans="2:8">
      <c r="B990" s="145" t="s">
        <v>552</v>
      </c>
      <c r="C990" s="146" t="s">
        <v>553</v>
      </c>
      <c r="D990" s="145" t="s">
        <v>55</v>
      </c>
      <c r="E990" s="177">
        <v>0.981</v>
      </c>
      <c r="F990" s="148">
        <v>2000000</v>
      </c>
      <c r="G990" s="144"/>
      <c r="H990" s="148">
        <f>ROUND(E990*F990,0)</f>
        <v>1962000</v>
      </c>
    </row>
    <row r="991" ht="16.5" customHeight="1" spans="2:8">
      <c r="B991" s="145" t="s">
        <v>536</v>
      </c>
      <c r="C991" s="146" t="s">
        <v>537</v>
      </c>
      <c r="D991" s="145" t="s">
        <v>518</v>
      </c>
      <c r="E991" s="177">
        <v>11.45</v>
      </c>
      <c r="F991" s="148">
        <v>20000</v>
      </c>
      <c r="G991" s="144"/>
      <c r="H991" s="148">
        <f>ROUND(E991*F991,0)</f>
        <v>229000</v>
      </c>
    </row>
    <row r="992" ht="16.5" customHeight="1" spans="2:8">
      <c r="B992" s="145" t="s">
        <v>539</v>
      </c>
      <c r="C992" s="146" t="s">
        <v>540</v>
      </c>
      <c r="D992" s="145" t="s">
        <v>450</v>
      </c>
      <c r="E992" s="177">
        <v>29</v>
      </c>
      <c r="F992" s="148">
        <v>3000</v>
      </c>
      <c r="G992" s="144"/>
      <c r="H992" s="148">
        <f>ROUND(E992*F992,0)</f>
        <v>87000</v>
      </c>
    </row>
    <row r="993" ht="16.5" customHeight="1" spans="2:8">
      <c r="B993" s="145" t="s">
        <v>793</v>
      </c>
      <c r="C993" s="146" t="s">
        <v>794</v>
      </c>
      <c r="D993" s="145" t="s">
        <v>792</v>
      </c>
      <c r="E993" s="177">
        <v>1</v>
      </c>
      <c r="F993" s="148">
        <f>ROUND(SUM(H989:H992)/100,0)</f>
        <v>38620</v>
      </c>
      <c r="G993" s="144"/>
      <c r="H993" s="148">
        <f>ROUND(E993*F993,0)</f>
        <v>38620</v>
      </c>
    </row>
    <row r="994" ht="16.5" customHeight="1" spans="2:8">
      <c r="B994" s="145"/>
      <c r="C994" s="146" t="s">
        <v>818</v>
      </c>
      <c r="D994" s="145"/>
      <c r="E994" s="205"/>
      <c r="F994" s="148"/>
      <c r="G994" s="144"/>
      <c r="H994" s="148">
        <f>ROUND(SUM(H989:H993),0)</f>
        <v>3900620</v>
      </c>
    </row>
    <row r="995" ht="16.5" customHeight="1" spans="1:8">
      <c r="A995" s="171"/>
      <c r="B995" s="172"/>
      <c r="C995" s="173" t="s">
        <v>787</v>
      </c>
      <c r="D995" s="172"/>
      <c r="E995" s="174"/>
      <c r="F995" s="175"/>
      <c r="G995" s="176"/>
      <c r="H995" s="175">
        <f>ROUND(H996,0)</f>
        <v>11106776</v>
      </c>
    </row>
    <row r="996" ht="16.5" customHeight="1" spans="2:8">
      <c r="B996" s="145" t="s">
        <v>602</v>
      </c>
      <c r="C996" s="146" t="s">
        <v>603</v>
      </c>
      <c r="D996" s="145" t="s">
        <v>594</v>
      </c>
      <c r="E996" s="177">
        <v>45.76</v>
      </c>
      <c r="F996" s="148">
        <v>242718</v>
      </c>
      <c r="G996" s="178">
        <v>1</v>
      </c>
      <c r="H996" s="148">
        <f>ROUND(E996*F996*G996,0)</f>
        <v>11106776</v>
      </c>
    </row>
    <row r="997" ht="27.75" customHeight="1" spans="1:8">
      <c r="A997" s="179"/>
      <c r="B997" s="180"/>
      <c r="C997" s="181" t="s">
        <v>804</v>
      </c>
      <c r="D997" s="180" t="s">
        <v>805</v>
      </c>
      <c r="E997" s="182"/>
      <c r="F997" s="183"/>
      <c r="G997" s="184"/>
      <c r="H997" s="183">
        <f>ROUND(H988+H995,0)</f>
        <v>15007396</v>
      </c>
    </row>
    <row r="998" ht="16.5" customHeight="1" spans="1:8">
      <c r="A998" s="185"/>
      <c r="B998" s="186"/>
      <c r="C998" s="187" t="s">
        <v>806</v>
      </c>
      <c r="D998" s="186" t="s">
        <v>807</v>
      </c>
      <c r="E998" s="188" t="s">
        <v>808</v>
      </c>
      <c r="F998" s="189"/>
      <c r="G998" s="190"/>
      <c r="H998" s="189">
        <v>855422</v>
      </c>
    </row>
    <row r="999" ht="25.5" customHeight="1" spans="1:8">
      <c r="A999" s="185"/>
      <c r="B999" s="186"/>
      <c r="C999" s="187" t="s">
        <v>809</v>
      </c>
      <c r="D999" s="186" t="s">
        <v>810</v>
      </c>
      <c r="E999" s="188" t="s">
        <v>811</v>
      </c>
      <c r="F999" s="189"/>
      <c r="G999" s="190"/>
      <c r="H999" s="189">
        <v>872455</v>
      </c>
    </row>
    <row r="1000" ht="28.5" customHeight="1" spans="1:8">
      <c r="A1000" s="191"/>
      <c r="B1000" s="192"/>
      <c r="C1000" s="193" t="s">
        <v>812</v>
      </c>
      <c r="D1000" s="192" t="s">
        <v>813</v>
      </c>
      <c r="E1000" s="194"/>
      <c r="F1000" s="195"/>
      <c r="G1000" s="196"/>
      <c r="H1000" s="195">
        <f>ROUND(H997+H998+H999,0)</f>
        <v>16735273</v>
      </c>
    </row>
    <row r="1001" ht="25.5" customHeight="1" spans="1:8">
      <c r="A1001" s="185"/>
      <c r="B1001" s="186"/>
      <c r="C1001" s="187" t="s">
        <v>814</v>
      </c>
      <c r="D1001" s="186" t="s">
        <v>815</v>
      </c>
      <c r="E1001" s="197">
        <v>0.1</v>
      </c>
      <c r="F1001" s="189"/>
      <c r="G1001" s="190"/>
      <c r="H1001" s="189">
        <f>ROUND(E1001*H1000,0)</f>
        <v>1673527</v>
      </c>
    </row>
    <row r="1002" ht="30.75" customHeight="1" spans="1:8">
      <c r="A1002" s="198"/>
      <c r="B1002" s="199"/>
      <c r="C1002" s="200" t="s">
        <v>816</v>
      </c>
      <c r="D1002" s="199" t="s">
        <v>817</v>
      </c>
      <c r="E1002" s="201"/>
      <c r="F1002" s="202"/>
      <c r="G1002" s="203"/>
      <c r="H1002" s="204">
        <f>ROUND(H1000+H1001,0)</f>
        <v>18408800</v>
      </c>
    </row>
    <row r="1003" ht="54.75" customHeight="1" spans="1:8">
      <c r="A1003" s="166">
        <v>32</v>
      </c>
      <c r="B1003" s="167" t="s">
        <v>483</v>
      </c>
      <c r="C1003" s="168" t="s">
        <v>484</v>
      </c>
      <c r="D1003" s="167" t="s">
        <v>114</v>
      </c>
      <c r="E1003" s="169">
        <v>1</v>
      </c>
      <c r="F1003" s="170"/>
      <c r="G1003" s="166"/>
      <c r="H1003" s="170"/>
    </row>
    <row r="1004" ht="16.5" customHeight="1" spans="1:8">
      <c r="A1004" s="171"/>
      <c r="B1004" s="172"/>
      <c r="C1004" s="173" t="s">
        <v>789</v>
      </c>
      <c r="D1004" s="172"/>
      <c r="E1004" s="174"/>
      <c r="F1004" s="175"/>
      <c r="G1004" s="176"/>
      <c r="H1004" s="175">
        <f>ROUND(H1007,0)</f>
        <v>13392900</v>
      </c>
    </row>
    <row r="1005" ht="16.5" customHeight="1" spans="2:8">
      <c r="B1005" s="145" t="s">
        <v>572</v>
      </c>
      <c r="C1005" s="146" t="s">
        <v>573</v>
      </c>
      <c r="D1005" s="145" t="s">
        <v>518</v>
      </c>
      <c r="E1005" s="177">
        <v>1005</v>
      </c>
      <c r="F1005" s="148">
        <v>12900</v>
      </c>
      <c r="G1005" s="144"/>
      <c r="H1005" s="148">
        <f>ROUND(E1005*F1005,0)</f>
        <v>12964500</v>
      </c>
    </row>
    <row r="1006" ht="16.5" customHeight="1" spans="2:8">
      <c r="B1006" s="145" t="s">
        <v>521</v>
      </c>
      <c r="C1006" s="146" t="s">
        <v>522</v>
      </c>
      <c r="D1006" s="145" t="s">
        <v>518</v>
      </c>
      <c r="E1006" s="177">
        <v>21.42</v>
      </c>
      <c r="F1006" s="148">
        <v>20000</v>
      </c>
      <c r="G1006" s="144"/>
      <c r="H1006" s="148">
        <f>ROUND(E1006*F1006,0)</f>
        <v>428400</v>
      </c>
    </row>
    <row r="1007" ht="16.5" customHeight="1" spans="2:8">
      <c r="B1007" s="145"/>
      <c r="C1007" s="146" t="s">
        <v>818</v>
      </c>
      <c r="D1007" s="145"/>
      <c r="E1007" s="205"/>
      <c r="F1007" s="148"/>
      <c r="G1007" s="144"/>
      <c r="H1007" s="148">
        <f>ROUND(SUM(H1005:H1006),0)</f>
        <v>13392900</v>
      </c>
    </row>
    <row r="1008" ht="16.5" customHeight="1" spans="1:8">
      <c r="A1008" s="171"/>
      <c r="B1008" s="172"/>
      <c r="C1008" s="173" t="s">
        <v>787</v>
      </c>
      <c r="D1008" s="172"/>
      <c r="E1008" s="174"/>
      <c r="F1008" s="175"/>
      <c r="G1008" s="176"/>
      <c r="H1008" s="175">
        <f>ROUND(H1009,0)</f>
        <v>4563857</v>
      </c>
    </row>
    <row r="1009" ht="16.5" customHeight="1" spans="2:8">
      <c r="B1009" s="145" t="s">
        <v>596</v>
      </c>
      <c r="C1009" s="146" t="s">
        <v>597</v>
      </c>
      <c r="D1009" s="145" t="s">
        <v>594</v>
      </c>
      <c r="E1009" s="177">
        <v>20.36</v>
      </c>
      <c r="F1009" s="148">
        <v>224158</v>
      </c>
      <c r="G1009" s="178">
        <v>1</v>
      </c>
      <c r="H1009" s="148">
        <f>ROUND(E1009*F1009*G1009,0)</f>
        <v>4563857</v>
      </c>
    </row>
    <row r="1010" ht="16.5" customHeight="1" spans="1:8">
      <c r="A1010" s="171"/>
      <c r="B1010" s="172"/>
      <c r="C1010" s="173" t="s">
        <v>788</v>
      </c>
      <c r="D1010" s="172"/>
      <c r="E1010" s="174"/>
      <c r="F1010" s="175"/>
      <c r="G1010" s="176"/>
      <c r="H1010" s="175">
        <f>ROUND(H1015,0)</f>
        <v>208988</v>
      </c>
    </row>
    <row r="1011" ht="16.5" customHeight="1" spans="2:8">
      <c r="B1011" s="145" t="s">
        <v>621</v>
      </c>
      <c r="C1011" s="146" t="s">
        <v>622</v>
      </c>
      <c r="D1011" s="145" t="s">
        <v>612</v>
      </c>
      <c r="E1011" s="177">
        <v>0.4</v>
      </c>
      <c r="F1011" s="148">
        <v>240449</v>
      </c>
      <c r="G1011" s="178">
        <v>1</v>
      </c>
      <c r="H1011" s="148">
        <f>ROUND(E1011*F1011*G1011,0)</f>
        <v>96180</v>
      </c>
    </row>
    <row r="1012" ht="16.5" customHeight="1" spans="2:8">
      <c r="B1012" s="145" t="s">
        <v>656</v>
      </c>
      <c r="C1012" s="146" t="s">
        <v>657</v>
      </c>
      <c r="D1012" s="145" t="s">
        <v>612</v>
      </c>
      <c r="E1012" s="177">
        <v>0.03</v>
      </c>
      <c r="F1012" s="148">
        <v>740827</v>
      </c>
      <c r="G1012" s="178">
        <v>1</v>
      </c>
      <c r="H1012" s="148">
        <f>ROUND(E1012*F1012*G1012,0)</f>
        <v>22225</v>
      </c>
    </row>
    <row r="1013" ht="16.5" customHeight="1" spans="2:8">
      <c r="B1013" s="145" t="s">
        <v>614</v>
      </c>
      <c r="C1013" s="146" t="s">
        <v>615</v>
      </c>
      <c r="D1013" s="145" t="s">
        <v>612</v>
      </c>
      <c r="E1013" s="177">
        <v>0.03</v>
      </c>
      <c r="F1013" s="148">
        <v>2882825</v>
      </c>
      <c r="G1013" s="178">
        <v>1</v>
      </c>
      <c r="H1013" s="148">
        <f>ROUND(E1013*F1013*G1013,0)</f>
        <v>86485</v>
      </c>
    </row>
    <row r="1014" ht="16.5" customHeight="1" spans="2:8">
      <c r="B1014" s="145" t="s">
        <v>790</v>
      </c>
      <c r="C1014" s="146" t="s">
        <v>791</v>
      </c>
      <c r="D1014" s="145" t="s">
        <v>792</v>
      </c>
      <c r="E1014" s="177">
        <v>2</v>
      </c>
      <c r="F1014" s="148">
        <f>ROUND(SUM(H1011:H1013)/100,0)</f>
        <v>2049</v>
      </c>
      <c r="G1014" s="144"/>
      <c r="H1014" s="148">
        <f>ROUND(E1014*F1014,0)</f>
        <v>4098</v>
      </c>
    </row>
    <row r="1015" ht="16.5" customHeight="1" spans="2:8">
      <c r="B1015" s="145"/>
      <c r="C1015" s="146" t="s">
        <v>818</v>
      </c>
      <c r="D1015" s="145"/>
      <c r="E1015" s="205"/>
      <c r="F1015" s="148"/>
      <c r="G1015" s="144"/>
      <c r="H1015" s="148">
        <f>ROUND(SUM(H1011:H1014),0)</f>
        <v>208988</v>
      </c>
    </row>
    <row r="1016" ht="27.75" customHeight="1" spans="1:8">
      <c r="A1016" s="179"/>
      <c r="B1016" s="180"/>
      <c r="C1016" s="181" t="s">
        <v>804</v>
      </c>
      <c r="D1016" s="180" t="s">
        <v>805</v>
      </c>
      <c r="E1016" s="182"/>
      <c r="F1016" s="183"/>
      <c r="G1016" s="184"/>
      <c r="H1016" s="183">
        <f>ROUND(H1004+H1008+H1010,0)</f>
        <v>18165745</v>
      </c>
    </row>
    <row r="1017" ht="16.5" customHeight="1" spans="1:8">
      <c r="A1017" s="185"/>
      <c r="B1017" s="186"/>
      <c r="C1017" s="187" t="s">
        <v>806</v>
      </c>
      <c r="D1017" s="186" t="s">
        <v>807</v>
      </c>
      <c r="E1017" s="188" t="s">
        <v>808</v>
      </c>
      <c r="F1017" s="189"/>
      <c r="G1017" s="190"/>
      <c r="H1017" s="189">
        <v>1035447</v>
      </c>
    </row>
    <row r="1018" ht="25.5" customHeight="1" spans="1:8">
      <c r="A1018" s="185"/>
      <c r="B1018" s="186"/>
      <c r="C1018" s="187" t="s">
        <v>809</v>
      </c>
      <c r="D1018" s="186" t="s">
        <v>810</v>
      </c>
      <c r="E1018" s="188" t="s">
        <v>811</v>
      </c>
      <c r="F1018" s="189"/>
      <c r="G1018" s="190"/>
      <c r="H1018" s="189">
        <v>1056066</v>
      </c>
    </row>
    <row r="1019" ht="28.5" customHeight="1" spans="1:8">
      <c r="A1019" s="191"/>
      <c r="B1019" s="192"/>
      <c r="C1019" s="193" t="s">
        <v>812</v>
      </c>
      <c r="D1019" s="192" t="s">
        <v>813</v>
      </c>
      <c r="E1019" s="194"/>
      <c r="F1019" s="195"/>
      <c r="G1019" s="196"/>
      <c r="H1019" s="195">
        <f>ROUND(H1016+H1017+H1018,0)</f>
        <v>20257258</v>
      </c>
    </row>
    <row r="1020" ht="25.5" customHeight="1" spans="1:8">
      <c r="A1020" s="185"/>
      <c r="B1020" s="186"/>
      <c r="C1020" s="187" t="s">
        <v>814</v>
      </c>
      <c r="D1020" s="186" t="s">
        <v>815</v>
      </c>
      <c r="E1020" s="197">
        <v>0.1</v>
      </c>
      <c r="F1020" s="189"/>
      <c r="G1020" s="190"/>
      <c r="H1020" s="189">
        <f>ROUND(E1020*H1019,0)</f>
        <v>2025726</v>
      </c>
    </row>
    <row r="1021" ht="30.75" customHeight="1" spans="1:8">
      <c r="A1021" s="198"/>
      <c r="B1021" s="199"/>
      <c r="C1021" s="200" t="s">
        <v>816</v>
      </c>
      <c r="D1021" s="199" t="s">
        <v>817</v>
      </c>
      <c r="E1021" s="201"/>
      <c r="F1021" s="202"/>
      <c r="G1021" s="203"/>
      <c r="H1021" s="204">
        <f>ROUND(H1019+H1020,0)</f>
        <v>22282984</v>
      </c>
    </row>
    <row r="1022" ht="54.75" customHeight="1" spans="1:8">
      <c r="A1022" s="166">
        <v>33</v>
      </c>
      <c r="B1022" s="167" t="s">
        <v>399</v>
      </c>
      <c r="C1022" s="168" t="s">
        <v>488</v>
      </c>
      <c r="D1022" s="167" t="s">
        <v>55</v>
      </c>
      <c r="E1022" s="169">
        <v>1</v>
      </c>
      <c r="F1022" s="170"/>
      <c r="G1022" s="166"/>
      <c r="H1022" s="170"/>
    </row>
    <row r="1023" ht="16.5" customHeight="1" spans="1:8">
      <c r="A1023" s="171"/>
      <c r="B1023" s="172"/>
      <c r="C1023" s="173" t="s">
        <v>789</v>
      </c>
      <c r="D1023" s="172"/>
      <c r="E1023" s="174"/>
      <c r="F1023" s="175"/>
      <c r="G1023" s="176"/>
      <c r="H1023" s="175">
        <f>ROUND(H1026,0)</f>
        <v>1127665</v>
      </c>
    </row>
    <row r="1024" ht="29.25" customHeight="1" spans="2:8">
      <c r="B1024" s="145" t="s">
        <v>156</v>
      </c>
      <c r="C1024" s="146" t="s">
        <v>585</v>
      </c>
      <c r="D1024" s="145" t="s">
        <v>55</v>
      </c>
      <c r="E1024" s="177">
        <v>1.015</v>
      </c>
      <c r="F1024" s="148">
        <v>1100000</v>
      </c>
      <c r="G1024" s="144"/>
      <c r="H1024" s="148">
        <f>ROUND(E1024*F1024,0)</f>
        <v>1116500</v>
      </c>
    </row>
    <row r="1025" ht="16.5" customHeight="1" spans="2:8">
      <c r="B1025" s="145" t="s">
        <v>793</v>
      </c>
      <c r="C1025" s="146" t="s">
        <v>794</v>
      </c>
      <c r="D1025" s="145" t="s">
        <v>792</v>
      </c>
      <c r="E1025" s="177">
        <v>1</v>
      </c>
      <c r="F1025" s="148">
        <f>ROUND(SUM(H1024:H1024)/100,0)</f>
        <v>11165</v>
      </c>
      <c r="G1025" s="144"/>
      <c r="H1025" s="148">
        <f>ROUND(E1025*F1025,0)</f>
        <v>11165</v>
      </c>
    </row>
    <row r="1026" ht="16.5" customHeight="1" spans="2:8">
      <c r="B1026" s="145"/>
      <c r="C1026" s="146" t="s">
        <v>818</v>
      </c>
      <c r="D1026" s="145"/>
      <c r="E1026" s="205"/>
      <c r="F1026" s="148"/>
      <c r="G1026" s="144"/>
      <c r="H1026" s="148">
        <f>ROUND(SUM(H1024:H1025),0)</f>
        <v>1127665</v>
      </c>
    </row>
    <row r="1027" ht="16.5" customHeight="1" spans="1:8">
      <c r="A1027" s="171"/>
      <c r="B1027" s="172"/>
      <c r="C1027" s="173" t="s">
        <v>787</v>
      </c>
      <c r="D1027" s="172"/>
      <c r="E1027" s="174"/>
      <c r="F1027" s="175"/>
      <c r="G1027" s="176"/>
      <c r="H1027" s="175">
        <f>ROUND(H1028,0)</f>
        <v>573844</v>
      </c>
    </row>
    <row r="1028" ht="16.5" customHeight="1" spans="2:8">
      <c r="B1028" s="145" t="s">
        <v>596</v>
      </c>
      <c r="C1028" s="146" t="s">
        <v>597</v>
      </c>
      <c r="D1028" s="145" t="s">
        <v>594</v>
      </c>
      <c r="E1028" s="177">
        <v>2.56</v>
      </c>
      <c r="F1028" s="148">
        <v>224158</v>
      </c>
      <c r="G1028" s="178">
        <v>1</v>
      </c>
      <c r="H1028" s="148">
        <f>ROUND(E1028*F1028*G1028,0)</f>
        <v>573844</v>
      </c>
    </row>
    <row r="1029" ht="16.5" customHeight="1" spans="1:8">
      <c r="A1029" s="171"/>
      <c r="B1029" s="172"/>
      <c r="C1029" s="173" t="s">
        <v>788</v>
      </c>
      <c r="D1029" s="172"/>
      <c r="E1029" s="174"/>
      <c r="F1029" s="175"/>
      <c r="G1029" s="176"/>
      <c r="H1029" s="175">
        <f>ROUND(H1033,0)</f>
        <v>177181</v>
      </c>
    </row>
    <row r="1030" ht="16.5" customHeight="1" spans="2:8">
      <c r="B1030" s="145" t="s">
        <v>660</v>
      </c>
      <c r="C1030" s="146" t="s">
        <v>661</v>
      </c>
      <c r="D1030" s="145" t="s">
        <v>612</v>
      </c>
      <c r="E1030" s="177">
        <v>0.033</v>
      </c>
      <c r="F1030" s="148">
        <v>4019344</v>
      </c>
      <c r="G1030" s="178">
        <v>1</v>
      </c>
      <c r="H1030" s="148">
        <f>ROUND(E1030*F1030*G1030,0)</f>
        <v>132638</v>
      </c>
    </row>
    <row r="1031" ht="16.5" customHeight="1" spans="2:8">
      <c r="B1031" s="145" t="s">
        <v>633</v>
      </c>
      <c r="C1031" s="146" t="s">
        <v>634</v>
      </c>
      <c r="D1031" s="145" t="s">
        <v>612</v>
      </c>
      <c r="E1031" s="177">
        <v>0.18</v>
      </c>
      <c r="F1031" s="148">
        <v>237717</v>
      </c>
      <c r="G1031" s="178">
        <v>1</v>
      </c>
      <c r="H1031" s="148">
        <f>ROUND(E1031*F1031*G1031,0)</f>
        <v>42789</v>
      </c>
    </row>
    <row r="1032" ht="16.5" customHeight="1" spans="2:8">
      <c r="B1032" s="145" t="s">
        <v>790</v>
      </c>
      <c r="C1032" s="146" t="s">
        <v>791</v>
      </c>
      <c r="D1032" s="145" t="s">
        <v>792</v>
      </c>
      <c r="E1032" s="177">
        <v>1</v>
      </c>
      <c r="F1032" s="148">
        <f>ROUND(SUM(H1030:H1031)/100,0)</f>
        <v>1754</v>
      </c>
      <c r="G1032" s="144"/>
      <c r="H1032" s="148">
        <f>ROUND(E1032*F1032,0)</f>
        <v>1754</v>
      </c>
    </row>
    <row r="1033" ht="16.5" customHeight="1" spans="2:8">
      <c r="B1033" s="145"/>
      <c r="C1033" s="146" t="s">
        <v>818</v>
      </c>
      <c r="D1033" s="145"/>
      <c r="E1033" s="205"/>
      <c r="F1033" s="148"/>
      <c r="G1033" s="144"/>
      <c r="H1033" s="148">
        <f>ROUND(SUM(H1030:H1032),0)</f>
        <v>177181</v>
      </c>
    </row>
    <row r="1034" ht="27.75" customHeight="1" spans="1:8">
      <c r="A1034" s="179"/>
      <c r="B1034" s="180"/>
      <c r="C1034" s="181" t="s">
        <v>804</v>
      </c>
      <c r="D1034" s="180" t="s">
        <v>805</v>
      </c>
      <c r="E1034" s="182"/>
      <c r="F1034" s="183"/>
      <c r="G1034" s="184"/>
      <c r="H1034" s="183">
        <f>ROUND(H1023+H1027+H1029,0)</f>
        <v>1878690</v>
      </c>
    </row>
    <row r="1035" ht="16.5" customHeight="1" spans="1:8">
      <c r="A1035" s="185"/>
      <c r="B1035" s="186"/>
      <c r="C1035" s="187" t="s">
        <v>806</v>
      </c>
      <c r="D1035" s="186" t="s">
        <v>807</v>
      </c>
      <c r="E1035" s="188" t="s">
        <v>808</v>
      </c>
      <c r="F1035" s="189"/>
      <c r="G1035" s="190"/>
      <c r="H1035" s="189">
        <v>107085</v>
      </c>
    </row>
    <row r="1036" ht="25.5" customHeight="1" spans="1:8">
      <c r="A1036" s="185"/>
      <c r="B1036" s="186"/>
      <c r="C1036" s="187" t="s">
        <v>809</v>
      </c>
      <c r="D1036" s="186" t="s">
        <v>810</v>
      </c>
      <c r="E1036" s="188" t="s">
        <v>811</v>
      </c>
      <c r="F1036" s="189"/>
      <c r="G1036" s="190"/>
      <c r="H1036" s="189">
        <v>109218</v>
      </c>
    </row>
    <row r="1037" ht="28.5" customHeight="1" spans="1:8">
      <c r="A1037" s="191"/>
      <c r="B1037" s="192"/>
      <c r="C1037" s="193" t="s">
        <v>812</v>
      </c>
      <c r="D1037" s="192" t="s">
        <v>813</v>
      </c>
      <c r="E1037" s="194"/>
      <c r="F1037" s="195"/>
      <c r="G1037" s="196"/>
      <c r="H1037" s="195">
        <f>ROUND(H1034+H1035+H1036,0)</f>
        <v>2094993</v>
      </c>
    </row>
    <row r="1038" ht="25.5" customHeight="1" spans="1:8">
      <c r="A1038" s="185"/>
      <c r="B1038" s="186"/>
      <c r="C1038" s="187" t="s">
        <v>814</v>
      </c>
      <c r="D1038" s="186" t="s">
        <v>815</v>
      </c>
      <c r="E1038" s="197">
        <v>0.1</v>
      </c>
      <c r="F1038" s="189"/>
      <c r="G1038" s="190"/>
      <c r="H1038" s="189">
        <f>ROUND(E1038*H1037,0)</f>
        <v>209499</v>
      </c>
    </row>
    <row r="1039" ht="30.75" customHeight="1" spans="1:8">
      <c r="A1039" s="198"/>
      <c r="B1039" s="199"/>
      <c r="C1039" s="200" t="s">
        <v>816</v>
      </c>
      <c r="D1039" s="199" t="s">
        <v>817</v>
      </c>
      <c r="E1039" s="201"/>
      <c r="F1039" s="202"/>
      <c r="G1039" s="203"/>
      <c r="H1039" s="204">
        <f>ROUND(H1037+H1038,0)</f>
        <v>2304492</v>
      </c>
    </row>
    <row r="1040" ht="42" customHeight="1" spans="1:8">
      <c r="A1040" s="166">
        <v>34</v>
      </c>
      <c r="B1040" s="167" t="s">
        <v>489</v>
      </c>
      <c r="C1040" s="168" t="s">
        <v>490</v>
      </c>
      <c r="D1040" s="167" t="s">
        <v>46</v>
      </c>
      <c r="E1040" s="169">
        <v>1</v>
      </c>
      <c r="F1040" s="170"/>
      <c r="G1040" s="166"/>
      <c r="H1040" s="170"/>
    </row>
    <row r="1041" ht="16.5" customHeight="1" spans="1:8">
      <c r="A1041" s="171"/>
      <c r="B1041" s="172"/>
      <c r="C1041" s="173" t="s">
        <v>788</v>
      </c>
      <c r="D1041" s="172"/>
      <c r="E1041" s="174"/>
      <c r="F1041" s="175"/>
      <c r="G1041" s="176"/>
      <c r="H1041" s="175">
        <f>ROUND(H1042,0)</f>
        <v>15201834</v>
      </c>
    </row>
    <row r="1042" ht="16.5" customHeight="1" spans="2:8">
      <c r="B1042" s="145" t="s">
        <v>648</v>
      </c>
      <c r="C1042" s="146" t="s">
        <v>649</v>
      </c>
      <c r="D1042" s="145" t="s">
        <v>612</v>
      </c>
      <c r="E1042" s="177">
        <v>3.92</v>
      </c>
      <c r="F1042" s="148">
        <v>3878019</v>
      </c>
      <c r="G1042" s="178">
        <v>1</v>
      </c>
      <c r="H1042" s="148">
        <f>ROUND(E1042*F1042*G1042,0)</f>
        <v>15201834</v>
      </c>
    </row>
    <row r="1043" ht="27.75" customHeight="1" spans="1:8">
      <c r="A1043" s="179"/>
      <c r="B1043" s="180"/>
      <c r="C1043" s="181" t="s">
        <v>804</v>
      </c>
      <c r="D1043" s="180" t="s">
        <v>805</v>
      </c>
      <c r="E1043" s="182"/>
      <c r="F1043" s="183"/>
      <c r="G1043" s="184"/>
      <c r="H1043" s="183">
        <f>ROUND(+H1041,0)</f>
        <v>15201834</v>
      </c>
    </row>
    <row r="1044" ht="16.5" customHeight="1" spans="1:8">
      <c r="A1044" s="185"/>
      <c r="B1044" s="186"/>
      <c r="C1044" s="187" t="s">
        <v>806</v>
      </c>
      <c r="D1044" s="186" t="s">
        <v>807</v>
      </c>
      <c r="E1044" s="188" t="s">
        <v>808</v>
      </c>
      <c r="F1044" s="189"/>
      <c r="G1044" s="190"/>
      <c r="H1044" s="189">
        <v>866505</v>
      </c>
    </row>
    <row r="1045" ht="25.5" customHeight="1" spans="1:8">
      <c r="A1045" s="185"/>
      <c r="B1045" s="186"/>
      <c r="C1045" s="187" t="s">
        <v>809</v>
      </c>
      <c r="D1045" s="186" t="s">
        <v>810</v>
      </c>
      <c r="E1045" s="188" t="s">
        <v>811</v>
      </c>
      <c r="F1045" s="189"/>
      <c r="G1045" s="190"/>
      <c r="H1045" s="189">
        <v>883759</v>
      </c>
    </row>
    <row r="1046" ht="28.5" customHeight="1" spans="1:8">
      <c r="A1046" s="191"/>
      <c r="B1046" s="192"/>
      <c r="C1046" s="193" t="s">
        <v>812</v>
      </c>
      <c r="D1046" s="192" t="s">
        <v>813</v>
      </c>
      <c r="E1046" s="194"/>
      <c r="F1046" s="195"/>
      <c r="G1046" s="196"/>
      <c r="H1046" s="195">
        <f>ROUND(H1043+H1044+H1045,0)</f>
        <v>16952098</v>
      </c>
    </row>
    <row r="1047" ht="25.5" customHeight="1" spans="1:8">
      <c r="A1047" s="185"/>
      <c r="B1047" s="186"/>
      <c r="C1047" s="187" t="s">
        <v>814</v>
      </c>
      <c r="D1047" s="186" t="s">
        <v>815</v>
      </c>
      <c r="E1047" s="197">
        <v>0.1</v>
      </c>
      <c r="F1047" s="189"/>
      <c r="G1047" s="190"/>
      <c r="H1047" s="189">
        <f>ROUND(E1047*H1046,0)</f>
        <v>1695210</v>
      </c>
    </row>
    <row r="1048" ht="30.75" customHeight="1" spans="1:8">
      <c r="A1048" s="198"/>
      <c r="B1048" s="199"/>
      <c r="C1048" s="200" t="s">
        <v>816</v>
      </c>
      <c r="D1048" s="199" t="s">
        <v>817</v>
      </c>
      <c r="E1048" s="201"/>
      <c r="F1048" s="202"/>
      <c r="G1048" s="203"/>
      <c r="H1048" s="204">
        <f>ROUND(H1046+H1047,0)</f>
        <v>18647308</v>
      </c>
    </row>
    <row r="1049" ht="42" customHeight="1" spans="1:8">
      <c r="A1049" s="166">
        <v>35</v>
      </c>
      <c r="B1049" s="167" t="s">
        <v>492</v>
      </c>
      <c r="C1049" s="168" t="s">
        <v>493</v>
      </c>
      <c r="D1049" s="167" t="s">
        <v>46</v>
      </c>
      <c r="E1049" s="169">
        <v>1</v>
      </c>
      <c r="F1049" s="170"/>
      <c r="G1049" s="166"/>
      <c r="H1049" s="170"/>
    </row>
    <row r="1050" ht="16.5" customHeight="1" spans="1:8">
      <c r="A1050" s="171"/>
      <c r="B1050" s="172"/>
      <c r="C1050" s="173" t="s">
        <v>788</v>
      </c>
      <c r="D1050" s="172"/>
      <c r="E1050" s="174"/>
      <c r="F1050" s="175"/>
      <c r="G1050" s="176"/>
      <c r="H1050" s="175">
        <f>ROUND(H1051,0)</f>
        <v>33676717</v>
      </c>
    </row>
    <row r="1051" ht="16.5" customHeight="1" spans="2:8">
      <c r="B1051" s="145" t="s">
        <v>648</v>
      </c>
      <c r="C1051" s="146" t="s">
        <v>649</v>
      </c>
      <c r="D1051" s="145" t="s">
        <v>612</v>
      </c>
      <c r="E1051" s="177">
        <v>0.334</v>
      </c>
      <c r="F1051" s="148">
        <v>3878019</v>
      </c>
      <c r="G1051" s="178">
        <v>26</v>
      </c>
      <c r="H1051" s="148">
        <f>ROUND(E1051*F1051*G1051,0)</f>
        <v>33676717</v>
      </c>
    </row>
    <row r="1052" ht="27.75" customHeight="1" spans="1:8">
      <c r="A1052" s="179"/>
      <c r="B1052" s="180"/>
      <c r="C1052" s="181" t="s">
        <v>804</v>
      </c>
      <c r="D1052" s="180" t="s">
        <v>805</v>
      </c>
      <c r="E1052" s="182"/>
      <c r="F1052" s="183"/>
      <c r="G1052" s="184"/>
      <c r="H1052" s="183">
        <f>ROUND(+H1050,0)</f>
        <v>33676717</v>
      </c>
    </row>
    <row r="1053" ht="16.5" customHeight="1" spans="1:8">
      <c r="A1053" s="185"/>
      <c r="B1053" s="186"/>
      <c r="C1053" s="187" t="s">
        <v>806</v>
      </c>
      <c r="D1053" s="186" t="s">
        <v>807</v>
      </c>
      <c r="E1053" s="188" t="s">
        <v>808</v>
      </c>
      <c r="F1053" s="189"/>
      <c r="G1053" s="190"/>
      <c r="H1053" s="189">
        <v>1919573</v>
      </c>
    </row>
    <row r="1054" ht="25.5" customHeight="1" spans="1:8">
      <c r="A1054" s="185"/>
      <c r="B1054" s="186"/>
      <c r="C1054" s="187" t="s">
        <v>809</v>
      </c>
      <c r="D1054" s="186" t="s">
        <v>810</v>
      </c>
      <c r="E1054" s="188" t="s">
        <v>811</v>
      </c>
      <c r="F1054" s="189"/>
      <c r="G1054" s="190"/>
      <c r="H1054" s="189">
        <v>1957796</v>
      </c>
    </row>
    <row r="1055" ht="28.5" customHeight="1" spans="1:8">
      <c r="A1055" s="191"/>
      <c r="B1055" s="192"/>
      <c r="C1055" s="193" t="s">
        <v>812</v>
      </c>
      <c r="D1055" s="192" t="s">
        <v>813</v>
      </c>
      <c r="E1055" s="194"/>
      <c r="F1055" s="195"/>
      <c r="G1055" s="196"/>
      <c r="H1055" s="195">
        <f>ROUND(H1052+H1053+H1054,0)</f>
        <v>37554086</v>
      </c>
    </row>
    <row r="1056" ht="25.5" customHeight="1" spans="1:8">
      <c r="A1056" s="185"/>
      <c r="B1056" s="186"/>
      <c r="C1056" s="187" t="s">
        <v>814</v>
      </c>
      <c r="D1056" s="186" t="s">
        <v>815</v>
      </c>
      <c r="E1056" s="197">
        <v>0.1</v>
      </c>
      <c r="F1056" s="189"/>
      <c r="G1056" s="190"/>
      <c r="H1056" s="189">
        <f>ROUND(E1056*H1055,0)</f>
        <v>3755409</v>
      </c>
    </row>
    <row r="1057" ht="30.75" customHeight="1" spans="1:8">
      <c r="A1057" s="198"/>
      <c r="B1057" s="199"/>
      <c r="C1057" s="200" t="s">
        <v>816</v>
      </c>
      <c r="D1057" s="199" t="s">
        <v>817</v>
      </c>
      <c r="E1057" s="201"/>
      <c r="F1057" s="202"/>
      <c r="G1057" s="203"/>
      <c r="H1057" s="204">
        <f>ROUND(H1055+H1056,0)</f>
        <v>41309495</v>
      </c>
    </row>
  </sheetData>
  <pageMargins left="1.22916666666667" right="0" top="0.822916666666667" bottom="0.208333333333333" header="0" footer="0.40625"/>
  <pageSetup paperSize="1" orientation="portrait" blackAndWhite="1" useFirstPageNumber="1" horizontalDpi="600"/>
  <headerFooter alignWithMargins="0">
    <oddFooter>&amp;C&amp;P</oddFooter>
  </headerFooter>
  <rowBreaks count="1" manualBreakCount="1">
    <brk id="416" max="255" man="1"/>
  </rowBreaks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2"/>
  <sheetViews>
    <sheetView showGridLines="0" zoomScaleSheetLayoutView="60" topLeftCell="A59" workbookViewId="0">
      <selection activeCell="X9" sqref="X9"/>
    </sheetView>
  </sheetViews>
  <sheetFormatPr defaultColWidth="10" defaultRowHeight="15" customHeight="1"/>
  <cols>
    <col min="1" max="1" width="8.33333333333333" style="133" customWidth="1"/>
    <col min="2" max="2" width="12.5" style="133" customWidth="1"/>
    <col min="3" max="3" width="48.3333333333333" style="133" customWidth="1"/>
    <col min="4" max="4" width="11.6666666666667" style="133" customWidth="1"/>
    <col min="5" max="5" width="15.8333333333333" style="133" customWidth="1"/>
    <col min="6" max="9" width="15" style="133" hidden="1" customWidth="1"/>
    <col min="10" max="10" width="9.16666666666667" style="133" hidden="1" customWidth="1"/>
    <col min="11" max="11" width="15.8333333333333" style="133" hidden="1" customWidth="1"/>
    <col min="12" max="14" width="15" style="133" hidden="1" customWidth="1"/>
    <col min="15" max="15" width="15" style="133" customWidth="1"/>
    <col min="16" max="16" width="16.6666666666667" style="133" customWidth="1"/>
    <col min="17" max="18" width="15" style="133" hidden="1" customWidth="1"/>
    <col min="19" max="20" width="10" style="133" hidden="1" customWidth="1"/>
    <col min="21" max="16384" width="10" style="133"/>
  </cols>
  <sheetData>
    <row r="1" ht="26.25" customHeight="1" spans="1:18">
      <c r="A1" s="134" t="s">
        <v>819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</row>
    <row r="2" ht="22.5" customHeight="1" spans="1:18">
      <c r="A2" s="136" t="s">
        <v>1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</row>
    <row r="3" ht="23.25" customHeight="1" spans="1:18">
      <c r="A3" s="138" t="s">
        <v>2</v>
      </c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</row>
    <row r="4" ht="27.75" customHeight="1" spans="1:20">
      <c r="A4" s="139" t="s">
        <v>3</v>
      </c>
      <c r="B4" s="139" t="s">
        <v>4</v>
      </c>
      <c r="C4" s="139" t="s">
        <v>497</v>
      </c>
      <c r="D4" s="139" t="s">
        <v>6</v>
      </c>
      <c r="E4" s="139" t="s">
        <v>13</v>
      </c>
      <c r="F4" s="139" t="s">
        <v>498</v>
      </c>
      <c r="G4" s="139" t="s">
        <v>15</v>
      </c>
      <c r="H4" s="139" t="s">
        <v>820</v>
      </c>
      <c r="I4" s="139" t="s">
        <v>821</v>
      </c>
      <c r="J4" s="139" t="s">
        <v>9</v>
      </c>
      <c r="K4" s="139" t="s">
        <v>822</v>
      </c>
      <c r="L4" s="139" t="s">
        <v>823</v>
      </c>
      <c r="M4" s="139" t="s">
        <v>824</v>
      </c>
      <c r="N4" s="139" t="s">
        <v>825</v>
      </c>
      <c r="O4" s="139" t="s">
        <v>826</v>
      </c>
      <c r="P4" s="139" t="s">
        <v>827</v>
      </c>
      <c r="Q4" s="139" t="s">
        <v>828</v>
      </c>
      <c r="R4" s="139" t="s">
        <v>829</v>
      </c>
      <c r="S4" s="133" t="s">
        <v>830</v>
      </c>
      <c r="T4" s="133" t="s">
        <v>780</v>
      </c>
    </row>
    <row r="5" ht="16.5" customHeight="1" spans="1:18">
      <c r="A5" s="140" t="s">
        <v>504</v>
      </c>
      <c r="B5" s="141"/>
      <c r="C5" s="141" t="s">
        <v>831</v>
      </c>
      <c r="D5" s="141"/>
      <c r="E5" s="142"/>
      <c r="F5" s="143"/>
      <c r="G5" s="143"/>
      <c r="H5" s="143"/>
      <c r="I5" s="143"/>
      <c r="J5" s="156"/>
      <c r="K5" s="143"/>
      <c r="L5" s="143"/>
      <c r="M5" s="143"/>
      <c r="N5" s="143"/>
      <c r="O5" s="143"/>
      <c r="P5" s="143"/>
      <c r="Q5" s="143"/>
      <c r="R5" s="143"/>
    </row>
    <row r="6" ht="17.25" customHeight="1" spans="1:20">
      <c r="A6" s="144">
        <v>1</v>
      </c>
      <c r="B6" s="145" t="s">
        <v>506</v>
      </c>
      <c r="C6" s="146" t="s">
        <v>507</v>
      </c>
      <c r="D6" s="145" t="s">
        <v>55</v>
      </c>
      <c r="E6" s="147">
        <v>17.2996</v>
      </c>
      <c r="F6" s="148">
        <v>55000</v>
      </c>
      <c r="G6" s="148">
        <v>951478</v>
      </c>
      <c r="H6" s="148">
        <v>73730</v>
      </c>
      <c r="I6" s="148">
        <v>1275500</v>
      </c>
      <c r="J6" s="157">
        <v>1</v>
      </c>
      <c r="K6" s="148">
        <v>73730</v>
      </c>
      <c r="L6" s="148">
        <v>1275500</v>
      </c>
      <c r="M6" s="148">
        <v>0</v>
      </c>
      <c r="N6" s="148">
        <v>0</v>
      </c>
      <c r="O6" s="148">
        <v>73730</v>
      </c>
      <c r="P6" s="148">
        <v>1275500</v>
      </c>
      <c r="Q6" s="148">
        <v>18730</v>
      </c>
      <c r="R6" s="148">
        <v>324022</v>
      </c>
      <c r="S6" s="133">
        <v>0</v>
      </c>
      <c r="T6" s="133">
        <v>0</v>
      </c>
    </row>
    <row r="7" ht="17.25" customHeight="1" spans="1:20">
      <c r="A7" s="144">
        <v>2</v>
      </c>
      <c r="B7" s="145" t="s">
        <v>510</v>
      </c>
      <c r="C7" s="146" t="s">
        <v>511</v>
      </c>
      <c r="D7" s="145" t="s">
        <v>55</v>
      </c>
      <c r="E7" s="147">
        <v>1.3637</v>
      </c>
      <c r="F7" s="148">
        <v>61000</v>
      </c>
      <c r="G7" s="148">
        <v>83186</v>
      </c>
      <c r="H7" s="148">
        <v>84840</v>
      </c>
      <c r="I7" s="148">
        <v>115696</v>
      </c>
      <c r="J7" s="157">
        <v>1</v>
      </c>
      <c r="K7" s="148">
        <v>84840</v>
      </c>
      <c r="L7" s="148">
        <v>115696</v>
      </c>
      <c r="M7" s="148">
        <v>0</v>
      </c>
      <c r="N7" s="148">
        <v>0</v>
      </c>
      <c r="O7" s="148">
        <v>84840</v>
      </c>
      <c r="P7" s="148">
        <v>115696</v>
      </c>
      <c r="Q7" s="148">
        <v>23840</v>
      </c>
      <c r="R7" s="148">
        <v>32510</v>
      </c>
      <c r="S7" s="133">
        <v>0</v>
      </c>
      <c r="T7" s="133">
        <v>0</v>
      </c>
    </row>
    <row r="8" ht="17.25" customHeight="1" spans="1:20">
      <c r="A8" s="144">
        <v>3</v>
      </c>
      <c r="B8" s="145" t="s">
        <v>513</v>
      </c>
      <c r="C8" s="146" t="s">
        <v>514</v>
      </c>
      <c r="D8" s="145" t="s">
        <v>55</v>
      </c>
      <c r="E8" s="147">
        <v>1.723</v>
      </c>
      <c r="F8" s="148">
        <v>189000</v>
      </c>
      <c r="G8" s="148">
        <v>325647</v>
      </c>
      <c r="H8" s="148">
        <v>258560</v>
      </c>
      <c r="I8" s="148">
        <v>445499</v>
      </c>
      <c r="J8" s="157">
        <v>1</v>
      </c>
      <c r="K8" s="148">
        <v>258560</v>
      </c>
      <c r="L8" s="148">
        <v>445499</v>
      </c>
      <c r="M8" s="148">
        <v>0</v>
      </c>
      <c r="N8" s="148">
        <v>0</v>
      </c>
      <c r="O8" s="148">
        <v>258560</v>
      </c>
      <c r="P8" s="148">
        <v>445499</v>
      </c>
      <c r="Q8" s="148">
        <v>69560</v>
      </c>
      <c r="R8" s="148">
        <v>119852</v>
      </c>
      <c r="S8" s="133">
        <v>0</v>
      </c>
      <c r="T8" s="133">
        <v>0</v>
      </c>
    </row>
    <row r="9" ht="17.25" customHeight="1" spans="1:20">
      <c r="A9" s="144">
        <v>4</v>
      </c>
      <c r="B9" s="145" t="s">
        <v>521</v>
      </c>
      <c r="C9" s="146" t="s">
        <v>522</v>
      </c>
      <c r="D9" s="145" t="s">
        <v>518</v>
      </c>
      <c r="E9" s="147">
        <v>27.5634</v>
      </c>
      <c r="F9" s="148">
        <v>19000</v>
      </c>
      <c r="G9" s="148">
        <v>523705</v>
      </c>
      <c r="H9" s="148">
        <v>20000</v>
      </c>
      <c r="I9" s="148">
        <v>551268</v>
      </c>
      <c r="J9" s="157">
        <v>1</v>
      </c>
      <c r="K9" s="148">
        <v>20000</v>
      </c>
      <c r="L9" s="148">
        <v>551268</v>
      </c>
      <c r="M9" s="148">
        <v>0</v>
      </c>
      <c r="N9" s="148">
        <v>0</v>
      </c>
      <c r="O9" s="148">
        <v>20000</v>
      </c>
      <c r="P9" s="148">
        <v>551268</v>
      </c>
      <c r="Q9" s="148">
        <v>1000</v>
      </c>
      <c r="R9" s="148">
        <v>27563</v>
      </c>
      <c r="S9" s="133">
        <v>0</v>
      </c>
      <c r="T9" s="133">
        <v>0</v>
      </c>
    </row>
    <row r="10" ht="17.25" customHeight="1" spans="1:20">
      <c r="A10" s="144">
        <v>5</v>
      </c>
      <c r="B10" s="145" t="s">
        <v>524</v>
      </c>
      <c r="C10" s="146" t="s">
        <v>525</v>
      </c>
      <c r="D10" s="145" t="s">
        <v>526</v>
      </c>
      <c r="E10" s="147">
        <v>0.5539</v>
      </c>
      <c r="F10" s="148">
        <v>15500</v>
      </c>
      <c r="G10" s="148">
        <v>8585</v>
      </c>
      <c r="H10" s="148">
        <v>15500</v>
      </c>
      <c r="I10" s="148">
        <v>8585</v>
      </c>
      <c r="J10" s="157">
        <v>1</v>
      </c>
      <c r="K10" s="148">
        <v>15500</v>
      </c>
      <c r="L10" s="148">
        <v>8585</v>
      </c>
      <c r="M10" s="148">
        <v>0</v>
      </c>
      <c r="N10" s="148">
        <v>0</v>
      </c>
      <c r="O10" s="148">
        <v>15500</v>
      </c>
      <c r="P10" s="148">
        <v>8585</v>
      </c>
      <c r="Q10" s="148">
        <v>0</v>
      </c>
      <c r="R10" s="148">
        <v>0</v>
      </c>
      <c r="S10" s="133">
        <v>0</v>
      </c>
      <c r="T10" s="133">
        <v>0</v>
      </c>
    </row>
    <row r="11" ht="17.25" customHeight="1" spans="1:20">
      <c r="A11" s="144">
        <v>6</v>
      </c>
      <c r="B11" s="145" t="s">
        <v>527</v>
      </c>
      <c r="C11" s="146" t="s">
        <v>528</v>
      </c>
      <c r="D11" s="145" t="s">
        <v>55</v>
      </c>
      <c r="E11" s="147">
        <v>0.9124</v>
      </c>
      <c r="F11" s="148">
        <v>214000</v>
      </c>
      <c r="G11" s="148">
        <v>195254</v>
      </c>
      <c r="H11" s="148">
        <v>260000</v>
      </c>
      <c r="I11" s="148">
        <v>237224</v>
      </c>
      <c r="J11" s="157">
        <v>1</v>
      </c>
      <c r="K11" s="148">
        <v>260000</v>
      </c>
      <c r="L11" s="148">
        <v>237224</v>
      </c>
      <c r="M11" s="148">
        <v>0</v>
      </c>
      <c r="N11" s="148">
        <v>0</v>
      </c>
      <c r="O11" s="148">
        <v>260000</v>
      </c>
      <c r="P11" s="148">
        <v>237224</v>
      </c>
      <c r="Q11" s="148">
        <v>46000</v>
      </c>
      <c r="R11" s="148">
        <v>41970</v>
      </c>
      <c r="S11" s="133">
        <v>0</v>
      </c>
      <c r="T11" s="133">
        <v>0</v>
      </c>
    </row>
    <row r="12" ht="17.25" customHeight="1" spans="1:20">
      <c r="A12" s="144">
        <v>7</v>
      </c>
      <c r="B12" s="145" t="s">
        <v>530</v>
      </c>
      <c r="C12" s="146" t="s">
        <v>531</v>
      </c>
      <c r="D12" s="145" t="s">
        <v>55</v>
      </c>
      <c r="E12" s="147">
        <v>2.2102</v>
      </c>
      <c r="F12" s="148">
        <v>186000</v>
      </c>
      <c r="G12" s="148">
        <v>411097</v>
      </c>
      <c r="H12" s="148">
        <v>227000</v>
      </c>
      <c r="I12" s="148">
        <v>501715</v>
      </c>
      <c r="J12" s="157">
        <v>1</v>
      </c>
      <c r="K12" s="148">
        <v>227000</v>
      </c>
      <c r="L12" s="148">
        <v>501715</v>
      </c>
      <c r="M12" s="148">
        <v>0</v>
      </c>
      <c r="N12" s="148">
        <v>0</v>
      </c>
      <c r="O12" s="148">
        <v>227000</v>
      </c>
      <c r="P12" s="148">
        <v>501715</v>
      </c>
      <c r="Q12" s="148">
        <v>41000</v>
      </c>
      <c r="R12" s="148">
        <v>90618</v>
      </c>
      <c r="S12" s="133">
        <v>0</v>
      </c>
      <c r="T12" s="133">
        <v>0</v>
      </c>
    </row>
    <row r="13" ht="17.25" customHeight="1" spans="1:20">
      <c r="A13" s="144">
        <v>8</v>
      </c>
      <c r="B13" s="145" t="s">
        <v>533</v>
      </c>
      <c r="C13" s="146" t="s">
        <v>534</v>
      </c>
      <c r="D13" s="145" t="s">
        <v>526</v>
      </c>
      <c r="E13" s="147">
        <v>0.2261</v>
      </c>
      <c r="F13" s="148">
        <v>15000</v>
      </c>
      <c r="G13" s="148">
        <v>3392</v>
      </c>
      <c r="H13" s="148">
        <v>15000</v>
      </c>
      <c r="I13" s="148">
        <v>3392</v>
      </c>
      <c r="J13" s="157">
        <v>1</v>
      </c>
      <c r="K13" s="148">
        <v>15000</v>
      </c>
      <c r="L13" s="148">
        <v>3392</v>
      </c>
      <c r="M13" s="148">
        <v>0</v>
      </c>
      <c r="N13" s="148">
        <v>0</v>
      </c>
      <c r="O13" s="148">
        <v>15000</v>
      </c>
      <c r="P13" s="148">
        <v>3392</v>
      </c>
      <c r="Q13" s="148">
        <v>0</v>
      </c>
      <c r="R13" s="148">
        <v>0</v>
      </c>
      <c r="S13" s="133">
        <v>0</v>
      </c>
      <c r="T13" s="133">
        <v>0</v>
      </c>
    </row>
    <row r="14" ht="17.25" customHeight="1" spans="1:20">
      <c r="A14" s="144">
        <v>9</v>
      </c>
      <c r="B14" s="145" t="s">
        <v>536</v>
      </c>
      <c r="C14" s="146" t="s">
        <v>537</v>
      </c>
      <c r="D14" s="145" t="s">
        <v>518</v>
      </c>
      <c r="E14" s="147">
        <v>8.9551</v>
      </c>
      <c r="F14" s="148">
        <v>19000</v>
      </c>
      <c r="G14" s="148">
        <v>170147</v>
      </c>
      <c r="H14" s="148">
        <v>20000</v>
      </c>
      <c r="I14" s="148">
        <v>179102</v>
      </c>
      <c r="J14" s="157">
        <v>1</v>
      </c>
      <c r="K14" s="148">
        <v>20000</v>
      </c>
      <c r="L14" s="148">
        <v>179102</v>
      </c>
      <c r="M14" s="148">
        <v>0</v>
      </c>
      <c r="N14" s="148">
        <v>0</v>
      </c>
      <c r="O14" s="148">
        <v>20000</v>
      </c>
      <c r="P14" s="148">
        <v>179102</v>
      </c>
      <c r="Q14" s="148">
        <v>1000</v>
      </c>
      <c r="R14" s="148">
        <v>8955</v>
      </c>
      <c r="S14" s="133">
        <v>0</v>
      </c>
      <c r="T14" s="133">
        <v>0</v>
      </c>
    </row>
    <row r="15" ht="17.25" customHeight="1" spans="1:20">
      <c r="A15" s="144">
        <v>10</v>
      </c>
      <c r="B15" s="145" t="s">
        <v>539</v>
      </c>
      <c r="C15" s="146" t="s">
        <v>540</v>
      </c>
      <c r="D15" s="145" t="s">
        <v>450</v>
      </c>
      <c r="E15" s="147">
        <v>0.1022</v>
      </c>
      <c r="F15" s="148">
        <v>3000</v>
      </c>
      <c r="G15" s="148">
        <v>307</v>
      </c>
      <c r="H15" s="148">
        <v>3000</v>
      </c>
      <c r="I15" s="148">
        <v>307</v>
      </c>
      <c r="J15" s="157">
        <v>1</v>
      </c>
      <c r="K15" s="148">
        <v>3000</v>
      </c>
      <c r="L15" s="148">
        <v>307</v>
      </c>
      <c r="M15" s="148">
        <v>0</v>
      </c>
      <c r="N15" s="148">
        <v>0</v>
      </c>
      <c r="O15" s="148">
        <v>3000</v>
      </c>
      <c r="P15" s="148">
        <v>307</v>
      </c>
      <c r="Q15" s="148">
        <v>0</v>
      </c>
      <c r="R15" s="148">
        <v>0</v>
      </c>
      <c r="S15" s="133">
        <v>0</v>
      </c>
      <c r="T15" s="133">
        <v>0</v>
      </c>
    </row>
    <row r="16" ht="17.25" customHeight="1" spans="1:20">
      <c r="A16" s="144">
        <v>11</v>
      </c>
      <c r="B16" s="145" t="s">
        <v>542</v>
      </c>
      <c r="C16" s="146" t="s">
        <v>543</v>
      </c>
      <c r="D16" s="145" t="s">
        <v>526</v>
      </c>
      <c r="E16" s="147">
        <v>2370.6078</v>
      </c>
      <c r="F16" s="148">
        <v>1314</v>
      </c>
      <c r="G16" s="148">
        <v>3114979</v>
      </c>
      <c r="H16" s="148">
        <v>1314</v>
      </c>
      <c r="I16" s="148">
        <v>3114979</v>
      </c>
      <c r="J16" s="157">
        <v>1</v>
      </c>
      <c r="K16" s="148">
        <v>1314</v>
      </c>
      <c r="L16" s="148">
        <v>3114979</v>
      </c>
      <c r="M16" s="148">
        <v>0</v>
      </c>
      <c r="N16" s="148">
        <v>0</v>
      </c>
      <c r="O16" s="148">
        <v>1314</v>
      </c>
      <c r="P16" s="148">
        <v>3114979</v>
      </c>
      <c r="Q16" s="148">
        <v>0</v>
      </c>
      <c r="R16" s="148">
        <v>0</v>
      </c>
      <c r="S16" s="133">
        <v>0</v>
      </c>
      <c r="T16" s="133">
        <v>0</v>
      </c>
    </row>
    <row r="17" ht="17.25" customHeight="1" spans="1:20">
      <c r="A17" s="144">
        <v>12</v>
      </c>
      <c r="B17" s="145" t="s">
        <v>546</v>
      </c>
      <c r="C17" s="146" t="s">
        <v>547</v>
      </c>
      <c r="D17" s="145" t="s">
        <v>55</v>
      </c>
      <c r="E17" s="147">
        <v>0.342</v>
      </c>
      <c r="F17" s="148">
        <v>2000000</v>
      </c>
      <c r="G17" s="148">
        <v>684000</v>
      </c>
      <c r="H17" s="148">
        <v>2000000</v>
      </c>
      <c r="I17" s="148">
        <v>684000</v>
      </c>
      <c r="J17" s="157">
        <v>1</v>
      </c>
      <c r="K17" s="148">
        <v>2000000</v>
      </c>
      <c r="L17" s="148">
        <v>684000</v>
      </c>
      <c r="M17" s="148">
        <v>0</v>
      </c>
      <c r="N17" s="148">
        <v>0</v>
      </c>
      <c r="O17" s="148">
        <v>2000000</v>
      </c>
      <c r="P17" s="148">
        <v>684000</v>
      </c>
      <c r="Q17" s="148">
        <v>0</v>
      </c>
      <c r="R17" s="148">
        <v>0</v>
      </c>
      <c r="S17" s="133">
        <v>0</v>
      </c>
      <c r="T17" s="133">
        <v>0</v>
      </c>
    </row>
    <row r="18" ht="17.25" customHeight="1" spans="1:20">
      <c r="A18" s="144">
        <v>13</v>
      </c>
      <c r="B18" s="145" t="s">
        <v>549</v>
      </c>
      <c r="C18" s="146" t="s">
        <v>550</v>
      </c>
      <c r="D18" s="145" t="s">
        <v>55</v>
      </c>
      <c r="E18" s="147">
        <v>0.0644</v>
      </c>
      <c r="F18" s="148">
        <v>2000000</v>
      </c>
      <c r="G18" s="148">
        <v>128800</v>
      </c>
      <c r="H18" s="148">
        <v>2000000</v>
      </c>
      <c r="I18" s="148">
        <v>128800</v>
      </c>
      <c r="J18" s="157">
        <v>1</v>
      </c>
      <c r="K18" s="148">
        <v>2000000</v>
      </c>
      <c r="L18" s="148">
        <v>128800</v>
      </c>
      <c r="M18" s="148">
        <v>0</v>
      </c>
      <c r="N18" s="148">
        <v>0</v>
      </c>
      <c r="O18" s="148">
        <v>2000000</v>
      </c>
      <c r="P18" s="148">
        <v>128800</v>
      </c>
      <c r="Q18" s="148">
        <v>0</v>
      </c>
      <c r="R18" s="148">
        <v>0</v>
      </c>
      <c r="S18" s="133">
        <v>0</v>
      </c>
      <c r="T18" s="133">
        <v>0</v>
      </c>
    </row>
    <row r="19" ht="17.25" customHeight="1" spans="1:20">
      <c r="A19" s="144">
        <v>14</v>
      </c>
      <c r="B19" s="145" t="s">
        <v>554</v>
      </c>
      <c r="C19" s="146" t="s">
        <v>555</v>
      </c>
      <c r="D19" s="145" t="s">
        <v>55</v>
      </c>
      <c r="E19" s="147">
        <v>0.5901</v>
      </c>
      <c r="F19" s="148">
        <v>2000000</v>
      </c>
      <c r="G19" s="148">
        <v>1180200</v>
      </c>
      <c r="H19" s="148">
        <v>2000000</v>
      </c>
      <c r="I19" s="148">
        <v>1180200</v>
      </c>
      <c r="J19" s="157">
        <v>1</v>
      </c>
      <c r="K19" s="148">
        <v>2000000</v>
      </c>
      <c r="L19" s="148">
        <v>1180200</v>
      </c>
      <c r="M19" s="148">
        <v>0</v>
      </c>
      <c r="N19" s="148">
        <v>0</v>
      </c>
      <c r="O19" s="148">
        <v>2000000</v>
      </c>
      <c r="P19" s="148">
        <v>1180200</v>
      </c>
      <c r="Q19" s="148">
        <v>0</v>
      </c>
      <c r="R19" s="148">
        <v>0</v>
      </c>
      <c r="S19" s="133">
        <v>0</v>
      </c>
      <c r="T19" s="133">
        <v>0</v>
      </c>
    </row>
    <row r="20" ht="17.25" customHeight="1" spans="1:20">
      <c r="A20" s="144">
        <v>15</v>
      </c>
      <c r="B20" s="145" t="s">
        <v>560</v>
      </c>
      <c r="C20" s="146" t="s">
        <v>561</v>
      </c>
      <c r="D20" s="145" t="s">
        <v>55</v>
      </c>
      <c r="E20" s="147">
        <v>0.0058</v>
      </c>
      <c r="F20" s="148">
        <v>2000000</v>
      </c>
      <c r="G20" s="148">
        <v>11600</v>
      </c>
      <c r="H20" s="148">
        <v>2000000</v>
      </c>
      <c r="I20" s="148">
        <v>11600</v>
      </c>
      <c r="J20" s="157">
        <v>1</v>
      </c>
      <c r="K20" s="148">
        <v>2000000</v>
      </c>
      <c r="L20" s="148">
        <v>11600</v>
      </c>
      <c r="M20" s="148">
        <v>0</v>
      </c>
      <c r="N20" s="148">
        <v>0</v>
      </c>
      <c r="O20" s="148">
        <v>2000000</v>
      </c>
      <c r="P20" s="148">
        <v>11600</v>
      </c>
      <c r="Q20" s="148">
        <v>0</v>
      </c>
      <c r="R20" s="148">
        <v>0</v>
      </c>
      <c r="S20" s="133">
        <v>0</v>
      </c>
      <c r="T20" s="133">
        <v>0</v>
      </c>
    </row>
    <row r="21" ht="17.25" customHeight="1" spans="1:20">
      <c r="A21" s="144">
        <v>16</v>
      </c>
      <c r="B21" s="145" t="s">
        <v>562</v>
      </c>
      <c r="C21" s="146" t="s">
        <v>563</v>
      </c>
      <c r="D21" s="145" t="s">
        <v>518</v>
      </c>
      <c r="E21" s="147">
        <v>0.7249</v>
      </c>
      <c r="F21" s="148">
        <v>0</v>
      </c>
      <c r="G21" s="148">
        <v>0</v>
      </c>
      <c r="H21" s="148">
        <v>69000</v>
      </c>
      <c r="I21" s="148">
        <v>50018</v>
      </c>
      <c r="J21" s="157">
        <v>1</v>
      </c>
      <c r="K21" s="148">
        <v>69000</v>
      </c>
      <c r="L21" s="148">
        <v>50018</v>
      </c>
      <c r="M21" s="148">
        <v>0</v>
      </c>
      <c r="N21" s="148">
        <v>0</v>
      </c>
      <c r="O21" s="148">
        <v>69000</v>
      </c>
      <c r="P21" s="148">
        <v>50018</v>
      </c>
      <c r="Q21" s="148">
        <v>69000</v>
      </c>
      <c r="R21" s="148">
        <v>50018</v>
      </c>
      <c r="S21" s="133">
        <v>0</v>
      </c>
      <c r="T21" s="133">
        <v>0</v>
      </c>
    </row>
    <row r="22" ht="17.25" customHeight="1" spans="1:20">
      <c r="A22" s="144">
        <v>17</v>
      </c>
      <c r="B22" s="145" t="s">
        <v>565</v>
      </c>
      <c r="C22" s="146" t="s">
        <v>566</v>
      </c>
      <c r="D22" s="145" t="s">
        <v>567</v>
      </c>
      <c r="E22" s="147">
        <v>921.6043</v>
      </c>
      <c r="F22" s="148">
        <v>5</v>
      </c>
      <c r="G22" s="148">
        <v>4608</v>
      </c>
      <c r="H22" s="148">
        <v>8</v>
      </c>
      <c r="I22" s="148">
        <v>7373</v>
      </c>
      <c r="J22" s="157">
        <v>1</v>
      </c>
      <c r="K22" s="148">
        <v>8</v>
      </c>
      <c r="L22" s="148">
        <v>7373</v>
      </c>
      <c r="M22" s="148">
        <v>0</v>
      </c>
      <c r="N22" s="148">
        <v>0</v>
      </c>
      <c r="O22" s="148">
        <v>8</v>
      </c>
      <c r="P22" s="148">
        <v>7373</v>
      </c>
      <c r="Q22" s="148">
        <v>3</v>
      </c>
      <c r="R22" s="148">
        <v>2765</v>
      </c>
      <c r="S22" s="133">
        <v>0</v>
      </c>
      <c r="T22" s="133">
        <v>0</v>
      </c>
    </row>
    <row r="23" ht="17.25" customHeight="1" spans="1:20">
      <c r="A23" s="144">
        <v>18</v>
      </c>
      <c r="B23" s="145" t="s">
        <v>569</v>
      </c>
      <c r="C23" s="146" t="s">
        <v>570</v>
      </c>
      <c r="D23" s="145" t="s">
        <v>518</v>
      </c>
      <c r="E23" s="147">
        <v>5.2571</v>
      </c>
      <c r="F23" s="148">
        <v>18600</v>
      </c>
      <c r="G23" s="148">
        <v>97782</v>
      </c>
      <c r="H23" s="148">
        <v>19800</v>
      </c>
      <c r="I23" s="148">
        <v>104091</v>
      </c>
      <c r="J23" s="157">
        <v>1</v>
      </c>
      <c r="K23" s="148">
        <v>19800</v>
      </c>
      <c r="L23" s="148">
        <v>104091</v>
      </c>
      <c r="M23" s="148">
        <v>0</v>
      </c>
      <c r="N23" s="148">
        <v>0</v>
      </c>
      <c r="O23" s="148">
        <v>19800</v>
      </c>
      <c r="P23" s="148">
        <v>104091</v>
      </c>
      <c r="Q23" s="148">
        <v>1200</v>
      </c>
      <c r="R23" s="148">
        <v>6309</v>
      </c>
      <c r="S23" s="133">
        <v>0</v>
      </c>
      <c r="T23" s="133">
        <v>0</v>
      </c>
    </row>
    <row r="24" ht="17.25" customHeight="1" spans="1:20">
      <c r="A24" s="144">
        <v>19</v>
      </c>
      <c r="B24" s="145" t="s">
        <v>572</v>
      </c>
      <c r="C24" s="146" t="s">
        <v>573</v>
      </c>
      <c r="D24" s="145" t="s">
        <v>518</v>
      </c>
      <c r="E24" s="147">
        <v>614.658</v>
      </c>
      <c r="F24" s="148">
        <v>16010</v>
      </c>
      <c r="G24" s="148">
        <v>9840675</v>
      </c>
      <c r="H24" s="148">
        <v>12900</v>
      </c>
      <c r="I24" s="148">
        <v>7929088</v>
      </c>
      <c r="J24" s="157">
        <v>1</v>
      </c>
      <c r="K24" s="148">
        <v>12900</v>
      </c>
      <c r="L24" s="148">
        <v>7929088</v>
      </c>
      <c r="M24" s="148">
        <v>0</v>
      </c>
      <c r="N24" s="148">
        <v>0</v>
      </c>
      <c r="O24" s="148">
        <v>12900</v>
      </c>
      <c r="P24" s="148">
        <v>7929088</v>
      </c>
      <c r="Q24" s="148">
        <v>-3110</v>
      </c>
      <c r="R24" s="148">
        <v>-1911587</v>
      </c>
      <c r="S24" s="133">
        <v>0</v>
      </c>
      <c r="T24" s="133">
        <v>0</v>
      </c>
    </row>
    <row r="25" ht="17.25" customHeight="1" spans="1:20">
      <c r="A25" s="144">
        <v>20</v>
      </c>
      <c r="B25" s="145" t="s">
        <v>575</v>
      </c>
      <c r="C25" s="146" t="s">
        <v>576</v>
      </c>
      <c r="D25" s="145" t="s">
        <v>518</v>
      </c>
      <c r="E25" s="147">
        <v>397.494</v>
      </c>
      <c r="F25" s="148">
        <v>15718</v>
      </c>
      <c r="G25" s="148">
        <v>6247811</v>
      </c>
      <c r="H25" s="148">
        <v>13300</v>
      </c>
      <c r="I25" s="148">
        <v>5286670</v>
      </c>
      <c r="J25" s="157">
        <v>1</v>
      </c>
      <c r="K25" s="148">
        <v>13300</v>
      </c>
      <c r="L25" s="148">
        <v>5286670</v>
      </c>
      <c r="M25" s="148">
        <v>0</v>
      </c>
      <c r="N25" s="148">
        <v>0</v>
      </c>
      <c r="O25" s="148">
        <v>13300</v>
      </c>
      <c r="P25" s="148">
        <v>5286670</v>
      </c>
      <c r="Q25" s="148">
        <v>-2418</v>
      </c>
      <c r="R25" s="148">
        <v>-961141</v>
      </c>
      <c r="S25" s="133">
        <v>0</v>
      </c>
      <c r="T25" s="133">
        <v>0</v>
      </c>
    </row>
    <row r="26" ht="17.25" customHeight="1" spans="1:20">
      <c r="A26" s="144">
        <v>21</v>
      </c>
      <c r="B26" s="145" t="s">
        <v>578</v>
      </c>
      <c r="C26" s="146" t="s">
        <v>579</v>
      </c>
      <c r="D26" s="145" t="s">
        <v>518</v>
      </c>
      <c r="E26" s="147">
        <v>635.562</v>
      </c>
      <c r="F26" s="148">
        <v>15718</v>
      </c>
      <c r="G26" s="148">
        <v>9989764</v>
      </c>
      <c r="H26" s="148">
        <v>13300</v>
      </c>
      <c r="I26" s="148">
        <v>8452975</v>
      </c>
      <c r="J26" s="157">
        <v>1</v>
      </c>
      <c r="K26" s="148">
        <v>13300</v>
      </c>
      <c r="L26" s="148">
        <v>8452975</v>
      </c>
      <c r="M26" s="148">
        <v>0</v>
      </c>
      <c r="N26" s="148">
        <v>0</v>
      </c>
      <c r="O26" s="148">
        <v>13300</v>
      </c>
      <c r="P26" s="148">
        <v>8452975</v>
      </c>
      <c r="Q26" s="148">
        <v>-2418</v>
      </c>
      <c r="R26" s="148">
        <v>-1536789</v>
      </c>
      <c r="S26" s="133">
        <v>0</v>
      </c>
      <c r="T26" s="133">
        <v>0</v>
      </c>
    </row>
    <row r="27" ht="17.25" customHeight="1" spans="1:20">
      <c r="A27" s="144">
        <v>22</v>
      </c>
      <c r="B27" s="145" t="s">
        <v>581</v>
      </c>
      <c r="C27" s="146" t="s">
        <v>582</v>
      </c>
      <c r="D27" s="145" t="s">
        <v>583</v>
      </c>
      <c r="E27" s="147">
        <v>0.5544</v>
      </c>
      <c r="F27" s="148">
        <v>0</v>
      </c>
      <c r="G27" s="148">
        <v>0</v>
      </c>
      <c r="H27" s="148">
        <v>200000</v>
      </c>
      <c r="I27" s="148">
        <v>110880</v>
      </c>
      <c r="J27" s="157">
        <v>1</v>
      </c>
      <c r="K27" s="148">
        <v>200000</v>
      </c>
      <c r="L27" s="148">
        <v>110880</v>
      </c>
      <c r="M27" s="148">
        <v>0</v>
      </c>
      <c r="N27" s="148">
        <v>0</v>
      </c>
      <c r="O27" s="148">
        <v>200000</v>
      </c>
      <c r="P27" s="148">
        <v>110880</v>
      </c>
      <c r="Q27" s="148">
        <v>200000</v>
      </c>
      <c r="R27" s="148">
        <v>110880</v>
      </c>
      <c r="S27" s="133">
        <v>0</v>
      </c>
      <c r="T27" s="133">
        <v>0</v>
      </c>
    </row>
    <row r="28" ht="17.25" customHeight="1" spans="1:20">
      <c r="A28" s="144">
        <v>23</v>
      </c>
      <c r="B28" s="145" t="s">
        <v>156</v>
      </c>
      <c r="C28" s="146" t="s">
        <v>585</v>
      </c>
      <c r="D28" s="145" t="s">
        <v>55</v>
      </c>
      <c r="E28" s="147">
        <v>12.427</v>
      </c>
      <c r="F28" s="148">
        <v>1133121</v>
      </c>
      <c r="G28" s="148">
        <v>14081295</v>
      </c>
      <c r="H28" s="148">
        <v>1100000</v>
      </c>
      <c r="I28" s="148">
        <v>13669700</v>
      </c>
      <c r="J28" s="157">
        <v>1</v>
      </c>
      <c r="K28" s="148">
        <v>1100000</v>
      </c>
      <c r="L28" s="148">
        <v>13669700</v>
      </c>
      <c r="M28" s="148">
        <v>0</v>
      </c>
      <c r="N28" s="148">
        <v>0</v>
      </c>
      <c r="O28" s="148">
        <v>1100000</v>
      </c>
      <c r="P28" s="148">
        <v>13669700</v>
      </c>
      <c r="Q28" s="148">
        <v>-33121</v>
      </c>
      <c r="R28" s="148">
        <v>-411595</v>
      </c>
      <c r="S28" s="133">
        <v>0</v>
      </c>
      <c r="T28" s="133">
        <v>0</v>
      </c>
    </row>
    <row r="29" ht="17.25" customHeight="1" spans="1:20">
      <c r="A29" s="144">
        <v>24</v>
      </c>
      <c r="B29" s="145" t="s">
        <v>587</v>
      </c>
      <c r="C29" s="146" t="s">
        <v>588</v>
      </c>
      <c r="D29" s="145" t="s">
        <v>518</v>
      </c>
      <c r="E29" s="147">
        <v>1301.7102</v>
      </c>
      <c r="F29" s="148">
        <v>1045</v>
      </c>
      <c r="G29" s="148">
        <v>1360287</v>
      </c>
      <c r="H29" s="148">
        <v>1140</v>
      </c>
      <c r="I29" s="148">
        <v>1483950</v>
      </c>
      <c r="J29" s="157">
        <v>1</v>
      </c>
      <c r="K29" s="148">
        <v>1140</v>
      </c>
      <c r="L29" s="148">
        <v>1483950</v>
      </c>
      <c r="M29" s="148">
        <v>0</v>
      </c>
      <c r="N29" s="148">
        <v>0</v>
      </c>
      <c r="O29" s="148">
        <v>1140</v>
      </c>
      <c r="P29" s="148">
        <v>1483950</v>
      </c>
      <c r="Q29" s="148">
        <v>95</v>
      </c>
      <c r="R29" s="148">
        <v>123663</v>
      </c>
      <c r="S29" s="133">
        <v>0</v>
      </c>
      <c r="T29" s="133">
        <v>0</v>
      </c>
    </row>
    <row r="30" ht="17.25" customHeight="1" spans="1:18">
      <c r="A30" s="144">
        <v>25</v>
      </c>
      <c r="B30" s="145" t="s">
        <v>793</v>
      </c>
      <c r="C30" s="146" t="s">
        <v>794</v>
      </c>
      <c r="D30" s="145" t="s">
        <v>792</v>
      </c>
      <c r="E30" s="147"/>
      <c r="F30" s="148"/>
      <c r="G30" s="148">
        <v>170118</v>
      </c>
      <c r="H30" s="148"/>
      <c r="I30" s="148"/>
      <c r="J30" s="157"/>
      <c r="K30" s="148"/>
      <c r="L30" s="148"/>
      <c r="M30" s="148"/>
      <c r="N30" s="148"/>
      <c r="O30" s="148"/>
      <c r="P30" s="148">
        <v>175293</v>
      </c>
      <c r="Q30" s="148"/>
      <c r="R30" s="148">
        <v>5175</v>
      </c>
    </row>
    <row r="31" ht="16.5" customHeight="1" spans="1:18">
      <c r="A31" s="140"/>
      <c r="B31" s="141"/>
      <c r="C31" s="149" t="s">
        <v>832</v>
      </c>
      <c r="D31" s="141"/>
      <c r="E31" s="150"/>
      <c r="F31" s="151"/>
      <c r="G31" s="151">
        <v>49584717</v>
      </c>
      <c r="H31" s="151"/>
      <c r="I31" s="151">
        <v>45532612</v>
      </c>
      <c r="J31" s="158"/>
      <c r="K31" s="151"/>
      <c r="L31" s="151">
        <v>45532612</v>
      </c>
      <c r="M31" s="151"/>
      <c r="N31" s="151">
        <v>0</v>
      </c>
      <c r="O31" s="151"/>
      <c r="P31" s="151">
        <v>45707905</v>
      </c>
      <c r="Q31" s="151"/>
      <c r="R31" s="151">
        <v>-3876812</v>
      </c>
    </row>
    <row r="32" ht="16.5" customHeight="1" spans="1:18">
      <c r="A32" s="140" t="s">
        <v>590</v>
      </c>
      <c r="B32" s="141"/>
      <c r="C32" s="141" t="s">
        <v>833</v>
      </c>
      <c r="D32" s="141"/>
      <c r="E32" s="142"/>
      <c r="F32" s="143"/>
      <c r="G32" s="143"/>
      <c r="H32" s="143"/>
      <c r="I32" s="143"/>
      <c r="J32" s="156"/>
      <c r="K32" s="143"/>
      <c r="L32" s="143"/>
      <c r="M32" s="143"/>
      <c r="N32" s="143"/>
      <c r="O32" s="143"/>
      <c r="P32" s="143"/>
      <c r="Q32" s="143"/>
      <c r="R32" s="143"/>
    </row>
    <row r="33" ht="17.25" customHeight="1" spans="1:18">
      <c r="A33" s="144">
        <v>1</v>
      </c>
      <c r="B33" s="145" t="s">
        <v>592</v>
      </c>
      <c r="C33" s="146" t="s">
        <v>593</v>
      </c>
      <c r="D33" s="145" t="s">
        <v>594</v>
      </c>
      <c r="E33" s="147">
        <v>25.1676</v>
      </c>
      <c r="F33" s="148">
        <v>199123</v>
      </c>
      <c r="G33" s="148">
        <v>5011448</v>
      </c>
      <c r="H33" s="148">
        <v>205597</v>
      </c>
      <c r="I33" s="148">
        <v>5174383</v>
      </c>
      <c r="J33" s="157">
        <v>1</v>
      </c>
      <c r="K33" s="148">
        <v>205597</v>
      </c>
      <c r="L33" s="148">
        <v>5174383</v>
      </c>
      <c r="M33" s="148"/>
      <c r="N33" s="148"/>
      <c r="O33" s="148">
        <v>205597</v>
      </c>
      <c r="P33" s="148">
        <v>5174383</v>
      </c>
      <c r="Q33" s="148">
        <v>6474</v>
      </c>
      <c r="R33" s="148">
        <v>162935</v>
      </c>
    </row>
    <row r="34" ht="17.25" customHeight="1" spans="1:18">
      <c r="A34" s="144">
        <v>2</v>
      </c>
      <c r="B34" s="145" t="s">
        <v>596</v>
      </c>
      <c r="C34" s="146" t="s">
        <v>597</v>
      </c>
      <c r="D34" s="145" t="s">
        <v>594</v>
      </c>
      <c r="E34" s="147">
        <v>35.8529</v>
      </c>
      <c r="F34" s="148">
        <v>216523</v>
      </c>
      <c r="G34" s="148">
        <v>7762977</v>
      </c>
      <c r="H34" s="148">
        <v>224158</v>
      </c>
      <c r="I34" s="148">
        <v>8036714</v>
      </c>
      <c r="J34" s="157">
        <v>1</v>
      </c>
      <c r="K34" s="148">
        <v>224158</v>
      </c>
      <c r="L34" s="148">
        <v>8036714</v>
      </c>
      <c r="M34" s="148"/>
      <c r="N34" s="148"/>
      <c r="O34" s="148">
        <v>224158</v>
      </c>
      <c r="P34" s="148">
        <v>8036714</v>
      </c>
      <c r="Q34" s="148">
        <v>7635</v>
      </c>
      <c r="R34" s="148">
        <v>273737</v>
      </c>
    </row>
    <row r="35" ht="17.25" customHeight="1" spans="1:18">
      <c r="A35" s="144">
        <v>3</v>
      </c>
      <c r="B35" s="145" t="s">
        <v>599</v>
      </c>
      <c r="C35" s="146" t="s">
        <v>600</v>
      </c>
      <c r="D35" s="145" t="s">
        <v>594</v>
      </c>
      <c r="E35" s="147">
        <v>3.5042</v>
      </c>
      <c r="F35" s="148">
        <v>223483</v>
      </c>
      <c r="G35" s="148">
        <v>783129</v>
      </c>
      <c r="H35" s="148">
        <v>231582</v>
      </c>
      <c r="I35" s="148">
        <v>811510</v>
      </c>
      <c r="J35" s="157">
        <v>1</v>
      </c>
      <c r="K35" s="148">
        <v>231582</v>
      </c>
      <c r="L35" s="148">
        <v>811510</v>
      </c>
      <c r="M35" s="148"/>
      <c r="N35" s="148"/>
      <c r="O35" s="148">
        <v>231582</v>
      </c>
      <c r="P35" s="148">
        <v>811510</v>
      </c>
      <c r="Q35" s="148">
        <v>8099</v>
      </c>
      <c r="R35" s="148">
        <v>28381</v>
      </c>
    </row>
    <row r="36" ht="17.25" customHeight="1" spans="1:18">
      <c r="A36" s="144">
        <v>4</v>
      </c>
      <c r="B36" s="145" t="s">
        <v>602</v>
      </c>
      <c r="C36" s="146" t="s">
        <v>603</v>
      </c>
      <c r="D36" s="145" t="s">
        <v>594</v>
      </c>
      <c r="E36" s="147">
        <v>5.8708</v>
      </c>
      <c r="F36" s="148">
        <v>233923</v>
      </c>
      <c r="G36" s="148">
        <v>1373315</v>
      </c>
      <c r="H36" s="148">
        <v>242718</v>
      </c>
      <c r="I36" s="148">
        <v>1424949</v>
      </c>
      <c r="J36" s="157">
        <v>1</v>
      </c>
      <c r="K36" s="148">
        <v>242718</v>
      </c>
      <c r="L36" s="148">
        <v>1424949</v>
      </c>
      <c r="M36" s="148"/>
      <c r="N36" s="148"/>
      <c r="O36" s="148">
        <v>242718</v>
      </c>
      <c r="P36" s="148">
        <v>1424949</v>
      </c>
      <c r="Q36" s="148">
        <v>8795</v>
      </c>
      <c r="R36" s="148">
        <v>51634</v>
      </c>
    </row>
    <row r="37" ht="16.5" customHeight="1" spans="1:18">
      <c r="A37" s="140"/>
      <c r="B37" s="141"/>
      <c r="C37" s="149" t="s">
        <v>834</v>
      </c>
      <c r="D37" s="141"/>
      <c r="E37" s="150"/>
      <c r="F37" s="151"/>
      <c r="G37" s="151">
        <v>14930869</v>
      </c>
      <c r="H37" s="151"/>
      <c r="I37" s="151">
        <v>15447556</v>
      </c>
      <c r="J37" s="158"/>
      <c r="K37" s="151"/>
      <c r="L37" s="151">
        <v>15447556</v>
      </c>
      <c r="M37" s="151"/>
      <c r="N37" s="151">
        <v>0</v>
      </c>
      <c r="O37" s="151"/>
      <c r="P37" s="151">
        <v>15447556</v>
      </c>
      <c r="Q37" s="151"/>
      <c r="R37" s="151">
        <v>516687</v>
      </c>
    </row>
    <row r="38" ht="16.5" customHeight="1" spans="1:18">
      <c r="A38" s="140" t="s">
        <v>608</v>
      </c>
      <c r="B38" s="141"/>
      <c r="C38" s="141" t="s">
        <v>835</v>
      </c>
      <c r="D38" s="141"/>
      <c r="E38" s="142"/>
      <c r="F38" s="143"/>
      <c r="G38" s="143"/>
      <c r="H38" s="143"/>
      <c r="I38" s="143"/>
      <c r="J38" s="156"/>
      <c r="K38" s="143"/>
      <c r="L38" s="143"/>
      <c r="M38" s="143"/>
      <c r="N38" s="143"/>
      <c r="O38" s="143"/>
      <c r="P38" s="143"/>
      <c r="Q38" s="143"/>
      <c r="R38" s="143"/>
    </row>
    <row r="39" ht="17.25" customHeight="1" spans="1:18">
      <c r="A39" s="144">
        <v>1</v>
      </c>
      <c r="B39" s="145" t="s">
        <v>617</v>
      </c>
      <c r="C39" s="146" t="s">
        <v>618</v>
      </c>
      <c r="D39" s="145" t="s">
        <v>619</v>
      </c>
      <c r="E39" s="147">
        <v>0.7574</v>
      </c>
      <c r="F39" s="148">
        <v>229221</v>
      </c>
      <c r="G39" s="148">
        <v>173612</v>
      </c>
      <c r="H39" s="148">
        <v>238130</v>
      </c>
      <c r="I39" s="148">
        <v>180360</v>
      </c>
      <c r="J39" s="157">
        <v>1</v>
      </c>
      <c r="K39" s="148">
        <v>238130</v>
      </c>
      <c r="L39" s="148">
        <v>180360</v>
      </c>
      <c r="M39" s="148"/>
      <c r="N39" s="148">
        <v>0</v>
      </c>
      <c r="O39" s="148">
        <v>238130</v>
      </c>
      <c r="P39" s="148">
        <v>180360</v>
      </c>
      <c r="Q39" s="148">
        <v>8909</v>
      </c>
      <c r="R39" s="148">
        <v>6748</v>
      </c>
    </row>
    <row r="40" ht="17.25" customHeight="1" spans="1:18">
      <c r="A40" s="144">
        <v>2</v>
      </c>
      <c r="B40" s="145" t="s">
        <v>621</v>
      </c>
      <c r="C40" s="146" t="s">
        <v>622</v>
      </c>
      <c r="D40" s="145" t="s">
        <v>612</v>
      </c>
      <c r="E40" s="147">
        <v>0.469</v>
      </c>
      <c r="F40" s="148">
        <v>236812</v>
      </c>
      <c r="G40" s="148">
        <v>111065</v>
      </c>
      <c r="H40" s="148">
        <v>240449</v>
      </c>
      <c r="I40" s="148">
        <v>112771</v>
      </c>
      <c r="J40" s="157">
        <v>1</v>
      </c>
      <c r="K40" s="148">
        <v>240449</v>
      </c>
      <c r="L40" s="148">
        <v>112771</v>
      </c>
      <c r="M40" s="148"/>
      <c r="N40" s="148">
        <v>0</v>
      </c>
      <c r="O40" s="148">
        <v>240449</v>
      </c>
      <c r="P40" s="148">
        <v>112771</v>
      </c>
      <c r="Q40" s="148">
        <v>3637</v>
      </c>
      <c r="R40" s="148">
        <v>1706</v>
      </c>
    </row>
    <row r="41" ht="17.25" customHeight="1" spans="1:18">
      <c r="A41" s="144">
        <v>3</v>
      </c>
      <c r="B41" s="145" t="s">
        <v>624</v>
      </c>
      <c r="C41" s="146" t="s">
        <v>625</v>
      </c>
      <c r="D41" s="145" t="s">
        <v>612</v>
      </c>
      <c r="E41" s="147">
        <v>0.2208</v>
      </c>
      <c r="F41" s="148">
        <v>2506803</v>
      </c>
      <c r="G41" s="148">
        <v>553502</v>
      </c>
      <c r="H41" s="148">
        <v>2579554</v>
      </c>
      <c r="I41" s="148">
        <v>569566</v>
      </c>
      <c r="J41" s="157">
        <v>1</v>
      </c>
      <c r="K41" s="148">
        <v>2579554</v>
      </c>
      <c r="L41" s="148">
        <v>569566</v>
      </c>
      <c r="M41" s="148"/>
      <c r="N41" s="148">
        <v>0</v>
      </c>
      <c r="O41" s="148">
        <v>2579554</v>
      </c>
      <c r="P41" s="148">
        <v>569566</v>
      </c>
      <c r="Q41" s="148">
        <v>72751</v>
      </c>
      <c r="R41" s="148">
        <v>16064</v>
      </c>
    </row>
    <row r="42" ht="17.25" customHeight="1" spans="1:18">
      <c r="A42" s="144">
        <v>4</v>
      </c>
      <c r="B42" s="145" t="s">
        <v>627</v>
      </c>
      <c r="C42" s="146" t="s">
        <v>628</v>
      </c>
      <c r="D42" s="145" t="s">
        <v>612</v>
      </c>
      <c r="E42" s="147">
        <v>0.2101</v>
      </c>
      <c r="F42" s="148">
        <v>226240</v>
      </c>
      <c r="G42" s="148">
        <v>47533</v>
      </c>
      <c r="H42" s="148">
        <v>234046</v>
      </c>
      <c r="I42" s="148">
        <v>49173</v>
      </c>
      <c r="J42" s="157">
        <v>1</v>
      </c>
      <c r="K42" s="148">
        <v>234046</v>
      </c>
      <c r="L42" s="148">
        <v>49173</v>
      </c>
      <c r="M42" s="148"/>
      <c r="N42" s="148">
        <v>0</v>
      </c>
      <c r="O42" s="148">
        <v>234046</v>
      </c>
      <c r="P42" s="148">
        <v>49173</v>
      </c>
      <c r="Q42" s="148">
        <v>7806</v>
      </c>
      <c r="R42" s="148">
        <v>1640</v>
      </c>
    </row>
    <row r="43" ht="17.25" customHeight="1" spans="1:18">
      <c r="A43" s="144">
        <v>5</v>
      </c>
      <c r="B43" s="145" t="s">
        <v>630</v>
      </c>
      <c r="C43" s="146" t="s">
        <v>631</v>
      </c>
      <c r="D43" s="145" t="s">
        <v>612</v>
      </c>
      <c r="E43" s="147">
        <v>2.6698</v>
      </c>
      <c r="F43" s="148">
        <v>313433</v>
      </c>
      <c r="G43" s="148">
        <v>836803</v>
      </c>
      <c r="H43" s="148">
        <v>324280</v>
      </c>
      <c r="I43" s="148">
        <v>865763</v>
      </c>
      <c r="J43" s="157">
        <v>1</v>
      </c>
      <c r="K43" s="148">
        <v>324280</v>
      </c>
      <c r="L43" s="148">
        <v>865763</v>
      </c>
      <c r="M43" s="148"/>
      <c r="N43" s="148">
        <v>0</v>
      </c>
      <c r="O43" s="148">
        <v>324280</v>
      </c>
      <c r="P43" s="148">
        <v>865763</v>
      </c>
      <c r="Q43" s="148">
        <v>10847</v>
      </c>
      <c r="R43" s="148">
        <v>28960</v>
      </c>
    </row>
    <row r="44" ht="17.25" customHeight="1" spans="1:18">
      <c r="A44" s="144">
        <v>6</v>
      </c>
      <c r="B44" s="145" t="s">
        <v>633</v>
      </c>
      <c r="C44" s="146" t="s">
        <v>634</v>
      </c>
      <c r="D44" s="145" t="s">
        <v>612</v>
      </c>
      <c r="E44" s="147">
        <v>1.2749</v>
      </c>
      <c r="F44" s="148">
        <v>230940</v>
      </c>
      <c r="G44" s="148">
        <v>294425</v>
      </c>
      <c r="H44" s="148">
        <v>237717</v>
      </c>
      <c r="I44" s="148">
        <v>303065</v>
      </c>
      <c r="J44" s="157">
        <v>1</v>
      </c>
      <c r="K44" s="148">
        <v>237717</v>
      </c>
      <c r="L44" s="148">
        <v>303065</v>
      </c>
      <c r="M44" s="148"/>
      <c r="N44" s="148">
        <v>0</v>
      </c>
      <c r="O44" s="148">
        <v>237717</v>
      </c>
      <c r="P44" s="148">
        <v>303065</v>
      </c>
      <c r="Q44" s="148">
        <v>6777</v>
      </c>
      <c r="R44" s="148">
        <v>8640</v>
      </c>
    </row>
    <row r="45" ht="17.25" customHeight="1" spans="1:18">
      <c r="A45" s="144">
        <v>7</v>
      </c>
      <c r="B45" s="145" t="s">
        <v>636</v>
      </c>
      <c r="C45" s="146" t="s">
        <v>637</v>
      </c>
      <c r="D45" s="145" t="s">
        <v>612</v>
      </c>
      <c r="E45" s="147">
        <v>1.2634</v>
      </c>
      <c r="F45" s="148">
        <v>328420</v>
      </c>
      <c r="G45" s="148">
        <v>414926</v>
      </c>
      <c r="H45" s="148">
        <v>361135</v>
      </c>
      <c r="I45" s="148">
        <v>456258</v>
      </c>
      <c r="J45" s="157">
        <v>1</v>
      </c>
      <c r="K45" s="148">
        <v>361135</v>
      </c>
      <c r="L45" s="148">
        <v>456258</v>
      </c>
      <c r="M45" s="148"/>
      <c r="N45" s="148">
        <v>0</v>
      </c>
      <c r="O45" s="148">
        <v>361135</v>
      </c>
      <c r="P45" s="148">
        <v>456258</v>
      </c>
      <c r="Q45" s="148">
        <v>32715</v>
      </c>
      <c r="R45" s="148">
        <v>41332</v>
      </c>
    </row>
    <row r="46" ht="17.25" customHeight="1" spans="1:18">
      <c r="A46" s="144">
        <v>8</v>
      </c>
      <c r="B46" s="145" t="s">
        <v>639</v>
      </c>
      <c r="C46" s="146" t="s">
        <v>640</v>
      </c>
      <c r="D46" s="145" t="s">
        <v>619</v>
      </c>
      <c r="E46" s="147">
        <v>0.3391</v>
      </c>
      <c r="F46" s="148">
        <v>217456</v>
      </c>
      <c r="G46" s="148">
        <v>73739</v>
      </c>
      <c r="H46" s="148">
        <v>213286</v>
      </c>
      <c r="I46" s="148">
        <v>72325</v>
      </c>
      <c r="J46" s="157">
        <v>1</v>
      </c>
      <c r="K46" s="148">
        <v>213286</v>
      </c>
      <c r="L46" s="148">
        <v>72325</v>
      </c>
      <c r="M46" s="148"/>
      <c r="N46" s="148">
        <v>0</v>
      </c>
      <c r="O46" s="148">
        <v>213286</v>
      </c>
      <c r="P46" s="148">
        <v>72325</v>
      </c>
      <c r="Q46" s="148">
        <v>-4170</v>
      </c>
      <c r="R46" s="148">
        <v>-1414</v>
      </c>
    </row>
    <row r="47" ht="17.25" customHeight="1" spans="1:18">
      <c r="A47" s="144">
        <v>9</v>
      </c>
      <c r="B47" s="145" t="s">
        <v>642</v>
      </c>
      <c r="C47" s="146" t="s">
        <v>643</v>
      </c>
      <c r="D47" s="145" t="s">
        <v>612</v>
      </c>
      <c r="E47" s="147">
        <v>0.3221</v>
      </c>
      <c r="F47" s="148">
        <v>270051</v>
      </c>
      <c r="G47" s="148">
        <v>86983</v>
      </c>
      <c r="H47" s="148">
        <v>301306</v>
      </c>
      <c r="I47" s="148">
        <v>97051</v>
      </c>
      <c r="J47" s="157">
        <v>1</v>
      </c>
      <c r="K47" s="148">
        <v>301306</v>
      </c>
      <c r="L47" s="148">
        <v>97051</v>
      </c>
      <c r="M47" s="148"/>
      <c r="N47" s="148">
        <v>0</v>
      </c>
      <c r="O47" s="148">
        <v>301306</v>
      </c>
      <c r="P47" s="148">
        <v>97051</v>
      </c>
      <c r="Q47" s="148">
        <v>31255</v>
      </c>
      <c r="R47" s="148">
        <v>10068</v>
      </c>
    </row>
    <row r="48" ht="17.25" customHeight="1" spans="1:18">
      <c r="A48" s="144">
        <v>10</v>
      </c>
      <c r="B48" s="145" t="s">
        <v>645</v>
      </c>
      <c r="C48" s="146" t="s">
        <v>646</v>
      </c>
      <c r="D48" s="145" t="s">
        <v>612</v>
      </c>
      <c r="E48" s="147">
        <v>0.0813</v>
      </c>
      <c r="F48" s="148">
        <v>343100</v>
      </c>
      <c r="G48" s="148">
        <v>27894</v>
      </c>
      <c r="H48" s="148">
        <v>393344</v>
      </c>
      <c r="I48" s="148">
        <v>31979</v>
      </c>
      <c r="J48" s="157">
        <v>1</v>
      </c>
      <c r="K48" s="148">
        <v>393344</v>
      </c>
      <c r="L48" s="148">
        <v>31979</v>
      </c>
      <c r="M48" s="148"/>
      <c r="N48" s="148">
        <v>0</v>
      </c>
      <c r="O48" s="148">
        <v>393344</v>
      </c>
      <c r="P48" s="148">
        <v>31979</v>
      </c>
      <c r="Q48" s="148">
        <v>50244</v>
      </c>
      <c r="R48" s="148">
        <v>4085</v>
      </c>
    </row>
    <row r="49" ht="17.25" customHeight="1" spans="1:18">
      <c r="A49" s="144">
        <v>11</v>
      </c>
      <c r="B49" s="145" t="s">
        <v>651</v>
      </c>
      <c r="C49" s="146" t="s">
        <v>652</v>
      </c>
      <c r="D49" s="145" t="s">
        <v>612</v>
      </c>
      <c r="E49" s="147">
        <v>0.5507</v>
      </c>
      <c r="F49" s="148">
        <v>1897480</v>
      </c>
      <c r="G49" s="148">
        <v>1044942</v>
      </c>
      <c r="H49" s="148">
        <v>1844939</v>
      </c>
      <c r="I49" s="148">
        <v>1016008</v>
      </c>
      <c r="J49" s="157">
        <v>1</v>
      </c>
      <c r="K49" s="148">
        <v>1844939</v>
      </c>
      <c r="L49" s="148">
        <v>1016008</v>
      </c>
      <c r="M49" s="148"/>
      <c r="N49" s="148">
        <v>0</v>
      </c>
      <c r="O49" s="148">
        <v>1844939</v>
      </c>
      <c r="P49" s="148">
        <v>1016008</v>
      </c>
      <c r="Q49" s="148">
        <v>-52541</v>
      </c>
      <c r="R49" s="148">
        <v>-28934</v>
      </c>
    </row>
    <row r="50" ht="17.25" customHeight="1" spans="1:18">
      <c r="A50" s="144">
        <v>12</v>
      </c>
      <c r="B50" s="145" t="s">
        <v>654</v>
      </c>
      <c r="C50" s="146" t="s">
        <v>655</v>
      </c>
      <c r="D50" s="145" t="s">
        <v>612</v>
      </c>
      <c r="E50" s="147">
        <v>0.0132</v>
      </c>
      <c r="F50" s="148">
        <v>343100</v>
      </c>
      <c r="G50" s="148">
        <v>4529</v>
      </c>
      <c r="H50" s="148">
        <v>393344</v>
      </c>
      <c r="I50" s="148">
        <v>5192</v>
      </c>
      <c r="J50" s="157">
        <v>1</v>
      </c>
      <c r="K50" s="148">
        <v>393344</v>
      </c>
      <c r="L50" s="148">
        <v>5192</v>
      </c>
      <c r="M50" s="148"/>
      <c r="N50" s="148">
        <v>0</v>
      </c>
      <c r="O50" s="148">
        <v>393344</v>
      </c>
      <c r="P50" s="148">
        <v>5192</v>
      </c>
      <c r="Q50" s="148">
        <v>50244</v>
      </c>
      <c r="R50" s="148">
        <v>663</v>
      </c>
    </row>
    <row r="51" ht="17.25" customHeight="1" spans="1:18">
      <c r="A51" s="144">
        <v>13</v>
      </c>
      <c r="B51" s="145" t="s">
        <v>660</v>
      </c>
      <c r="C51" s="146" t="s">
        <v>661</v>
      </c>
      <c r="D51" s="145" t="s">
        <v>612</v>
      </c>
      <c r="E51" s="147">
        <v>0.404</v>
      </c>
      <c r="F51" s="148">
        <v>3590501</v>
      </c>
      <c r="G51" s="148">
        <v>1450562</v>
      </c>
      <c r="H51" s="148">
        <v>4019344</v>
      </c>
      <c r="I51" s="148">
        <v>1623815</v>
      </c>
      <c r="J51" s="157">
        <v>1</v>
      </c>
      <c r="K51" s="148">
        <v>4019344</v>
      </c>
      <c r="L51" s="148">
        <v>1623815</v>
      </c>
      <c r="M51" s="148"/>
      <c r="N51" s="148">
        <v>0</v>
      </c>
      <c r="O51" s="148">
        <v>4019344</v>
      </c>
      <c r="P51" s="148">
        <v>1623815</v>
      </c>
      <c r="Q51" s="148">
        <v>428843</v>
      </c>
      <c r="R51" s="148">
        <v>173253</v>
      </c>
    </row>
    <row r="52" ht="17.25" customHeight="1" spans="1:18">
      <c r="A52" s="144">
        <v>14</v>
      </c>
      <c r="B52" s="145" t="s">
        <v>790</v>
      </c>
      <c r="C52" s="146" t="s">
        <v>791</v>
      </c>
      <c r="D52" s="145" t="s">
        <v>792</v>
      </c>
      <c r="E52" s="147"/>
      <c r="F52" s="148"/>
      <c r="G52" s="148">
        <v>31029</v>
      </c>
      <c r="H52" s="148"/>
      <c r="I52" s="148"/>
      <c r="J52" s="157"/>
      <c r="K52" s="148"/>
      <c r="L52" s="148"/>
      <c r="M52" s="148"/>
      <c r="N52" s="148"/>
      <c r="O52" s="148"/>
      <c r="P52" s="148">
        <v>33167</v>
      </c>
      <c r="Q52" s="148"/>
      <c r="R52" s="148">
        <v>2138</v>
      </c>
    </row>
    <row r="53" ht="16.5" customHeight="1" spans="1:18">
      <c r="A53" s="140"/>
      <c r="B53" s="141"/>
      <c r="C53" s="149" t="s">
        <v>836</v>
      </c>
      <c r="D53" s="141"/>
      <c r="E53" s="151"/>
      <c r="F53" s="151"/>
      <c r="G53" s="151">
        <v>5151544</v>
      </c>
      <c r="H53" s="151"/>
      <c r="I53" s="151">
        <v>5383326</v>
      </c>
      <c r="J53" s="151"/>
      <c r="K53" s="151"/>
      <c r="L53" s="151">
        <v>5383326</v>
      </c>
      <c r="M53" s="151"/>
      <c r="N53" s="151">
        <v>0</v>
      </c>
      <c r="O53" s="151"/>
      <c r="P53" s="151">
        <v>5416493</v>
      </c>
      <c r="Q53" s="151"/>
      <c r="R53" s="151">
        <v>264949</v>
      </c>
    </row>
    <row r="54" ht="26.25" customHeight="1" spans="1:18">
      <c r="A54" s="134" t="s">
        <v>819</v>
      </c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</row>
    <row r="55" ht="23.25" customHeight="1" spans="1:18">
      <c r="A55" s="152" t="s">
        <v>1</v>
      </c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</row>
    <row r="56" ht="22.5" customHeight="1" spans="1:18">
      <c r="A56" s="154" t="s">
        <v>209</v>
      </c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</row>
    <row r="57" ht="27.75" customHeight="1" spans="1:18">
      <c r="A57" s="139" t="s">
        <v>3</v>
      </c>
      <c r="B57" s="155" t="s">
        <v>4</v>
      </c>
      <c r="C57" s="155" t="s">
        <v>497</v>
      </c>
      <c r="D57" s="155" t="s">
        <v>6</v>
      </c>
      <c r="E57" s="139" t="s">
        <v>13</v>
      </c>
      <c r="F57" s="139" t="s">
        <v>498</v>
      </c>
      <c r="G57" s="139" t="s">
        <v>15</v>
      </c>
      <c r="H57" s="139" t="s">
        <v>820</v>
      </c>
      <c r="I57" s="139" t="s">
        <v>821</v>
      </c>
      <c r="J57" s="139" t="s">
        <v>9</v>
      </c>
      <c r="K57" s="139" t="s">
        <v>822</v>
      </c>
      <c r="L57" s="139" t="s">
        <v>823</v>
      </c>
      <c r="M57" s="139" t="s">
        <v>837</v>
      </c>
      <c r="N57" s="139" t="s">
        <v>825</v>
      </c>
      <c r="O57" s="139" t="s">
        <v>826</v>
      </c>
      <c r="P57" s="139" t="s">
        <v>827</v>
      </c>
      <c r="Q57" s="139" t="s">
        <v>828</v>
      </c>
      <c r="R57" s="139" t="s">
        <v>829</v>
      </c>
    </row>
    <row r="58" ht="16.5" customHeight="1" spans="1:18">
      <c r="A58" s="140" t="s">
        <v>504</v>
      </c>
      <c r="B58" s="141"/>
      <c r="C58" s="141" t="s">
        <v>831</v>
      </c>
      <c r="D58" s="141"/>
      <c r="E58" s="142"/>
      <c r="F58" s="143"/>
      <c r="G58" s="143"/>
      <c r="H58" s="143"/>
      <c r="I58" s="143"/>
      <c r="J58" s="156"/>
      <c r="K58" s="143"/>
      <c r="L58" s="143"/>
      <c r="M58" s="143"/>
      <c r="N58" s="143"/>
      <c r="O58" s="143"/>
      <c r="P58" s="143"/>
      <c r="Q58" s="143"/>
      <c r="R58" s="143"/>
    </row>
    <row r="59" ht="17.25" customHeight="1" spans="1:20">
      <c r="A59" s="144">
        <v>1</v>
      </c>
      <c r="B59" s="145" t="s">
        <v>513</v>
      </c>
      <c r="C59" s="146" t="s">
        <v>514</v>
      </c>
      <c r="D59" s="145" t="s">
        <v>55</v>
      </c>
      <c r="E59" s="147">
        <v>0.5134</v>
      </c>
      <c r="F59" s="148">
        <v>189000</v>
      </c>
      <c r="G59" s="148">
        <v>97033</v>
      </c>
      <c r="H59" s="148">
        <v>258560</v>
      </c>
      <c r="I59" s="148">
        <v>132745</v>
      </c>
      <c r="J59" s="157">
        <v>1</v>
      </c>
      <c r="K59" s="148">
        <v>258560</v>
      </c>
      <c r="L59" s="148">
        <v>132745</v>
      </c>
      <c r="M59" s="148">
        <v>0</v>
      </c>
      <c r="N59" s="148">
        <v>0</v>
      </c>
      <c r="O59" s="148">
        <v>258560</v>
      </c>
      <c r="P59" s="148">
        <v>132745</v>
      </c>
      <c r="Q59" s="148">
        <v>69560</v>
      </c>
      <c r="R59" s="148">
        <v>35712</v>
      </c>
      <c r="S59" s="133">
        <v>0</v>
      </c>
      <c r="T59" s="133">
        <v>0</v>
      </c>
    </row>
    <row r="60" ht="17.25" customHeight="1" spans="1:20">
      <c r="A60" s="144">
        <v>2</v>
      </c>
      <c r="B60" s="145" t="s">
        <v>516</v>
      </c>
      <c r="C60" s="146" t="s">
        <v>517</v>
      </c>
      <c r="D60" s="145" t="s">
        <v>518</v>
      </c>
      <c r="E60" s="147">
        <v>166.271</v>
      </c>
      <c r="F60" s="148">
        <v>16190</v>
      </c>
      <c r="G60" s="148">
        <v>2691927</v>
      </c>
      <c r="H60" s="148">
        <v>16190</v>
      </c>
      <c r="I60" s="148">
        <v>2691927</v>
      </c>
      <c r="J60" s="157">
        <v>1</v>
      </c>
      <c r="K60" s="148">
        <v>16190</v>
      </c>
      <c r="L60" s="148">
        <v>2691927</v>
      </c>
      <c r="M60" s="148">
        <v>0</v>
      </c>
      <c r="N60" s="148">
        <v>0</v>
      </c>
      <c r="O60" s="148">
        <v>16190</v>
      </c>
      <c r="P60" s="148">
        <v>2691927</v>
      </c>
      <c r="Q60" s="148">
        <v>0</v>
      </c>
      <c r="R60" s="148">
        <v>0</v>
      </c>
      <c r="S60" s="133">
        <v>0</v>
      </c>
      <c r="T60" s="133">
        <v>0</v>
      </c>
    </row>
    <row r="61" ht="17.25" customHeight="1" spans="1:20">
      <c r="A61" s="144">
        <v>3</v>
      </c>
      <c r="B61" s="145" t="s">
        <v>521</v>
      </c>
      <c r="C61" s="146" t="s">
        <v>522</v>
      </c>
      <c r="D61" s="145" t="s">
        <v>518</v>
      </c>
      <c r="E61" s="147">
        <v>121.4935</v>
      </c>
      <c r="F61" s="148">
        <v>19000</v>
      </c>
      <c r="G61" s="148">
        <v>2308377</v>
      </c>
      <c r="H61" s="148">
        <v>20000</v>
      </c>
      <c r="I61" s="148">
        <v>2429870</v>
      </c>
      <c r="J61" s="157">
        <v>1</v>
      </c>
      <c r="K61" s="148">
        <v>20000</v>
      </c>
      <c r="L61" s="148">
        <v>2429870</v>
      </c>
      <c r="M61" s="148">
        <v>0</v>
      </c>
      <c r="N61" s="148">
        <v>0</v>
      </c>
      <c r="O61" s="148">
        <v>20000</v>
      </c>
      <c r="P61" s="148">
        <v>2429870</v>
      </c>
      <c r="Q61" s="148">
        <v>1000</v>
      </c>
      <c r="R61" s="148">
        <v>121493</v>
      </c>
      <c r="S61" s="133">
        <v>0</v>
      </c>
      <c r="T61" s="133">
        <v>0</v>
      </c>
    </row>
    <row r="62" ht="17.25" customHeight="1" spans="1:20">
      <c r="A62" s="144">
        <v>4</v>
      </c>
      <c r="B62" s="145" t="s">
        <v>527</v>
      </c>
      <c r="C62" s="146" t="s">
        <v>528</v>
      </c>
      <c r="D62" s="145" t="s">
        <v>55</v>
      </c>
      <c r="E62" s="147">
        <v>0.7365</v>
      </c>
      <c r="F62" s="148">
        <v>214000</v>
      </c>
      <c r="G62" s="148">
        <v>157611</v>
      </c>
      <c r="H62" s="148">
        <v>260000</v>
      </c>
      <c r="I62" s="148">
        <v>191490</v>
      </c>
      <c r="J62" s="157">
        <v>1</v>
      </c>
      <c r="K62" s="148">
        <v>260000</v>
      </c>
      <c r="L62" s="148">
        <v>191490</v>
      </c>
      <c r="M62" s="148">
        <v>0</v>
      </c>
      <c r="N62" s="148">
        <v>0</v>
      </c>
      <c r="O62" s="148">
        <v>260000</v>
      </c>
      <c r="P62" s="148">
        <v>191490</v>
      </c>
      <c r="Q62" s="148">
        <v>46000</v>
      </c>
      <c r="R62" s="148">
        <v>33879</v>
      </c>
      <c r="S62" s="133">
        <v>0</v>
      </c>
      <c r="T62" s="133">
        <v>0</v>
      </c>
    </row>
    <row r="63" ht="17.25" customHeight="1" spans="1:20">
      <c r="A63" s="144">
        <v>5</v>
      </c>
      <c r="B63" s="145" t="s">
        <v>536</v>
      </c>
      <c r="C63" s="146" t="s">
        <v>537</v>
      </c>
      <c r="D63" s="145" t="s">
        <v>518</v>
      </c>
      <c r="E63" s="147">
        <v>4.7734</v>
      </c>
      <c r="F63" s="148">
        <v>19000</v>
      </c>
      <c r="G63" s="148">
        <v>90695</v>
      </c>
      <c r="H63" s="148">
        <v>20000</v>
      </c>
      <c r="I63" s="148">
        <v>95468</v>
      </c>
      <c r="J63" s="157">
        <v>1</v>
      </c>
      <c r="K63" s="148">
        <v>20000</v>
      </c>
      <c r="L63" s="148">
        <v>95468</v>
      </c>
      <c r="M63" s="148">
        <v>0</v>
      </c>
      <c r="N63" s="148">
        <v>0</v>
      </c>
      <c r="O63" s="148">
        <v>20000</v>
      </c>
      <c r="P63" s="148">
        <v>95468</v>
      </c>
      <c r="Q63" s="148">
        <v>1000</v>
      </c>
      <c r="R63" s="148">
        <v>4773</v>
      </c>
      <c r="S63" s="133">
        <v>0</v>
      </c>
      <c r="T63" s="133">
        <v>0</v>
      </c>
    </row>
    <row r="64" ht="17.25" customHeight="1" spans="1:20">
      <c r="A64" s="144">
        <v>6</v>
      </c>
      <c r="B64" s="145" t="s">
        <v>539</v>
      </c>
      <c r="C64" s="146" t="s">
        <v>540</v>
      </c>
      <c r="D64" s="145" t="s">
        <v>450</v>
      </c>
      <c r="E64" s="147">
        <v>14.0228</v>
      </c>
      <c r="F64" s="148">
        <v>3000</v>
      </c>
      <c r="G64" s="148">
        <v>42068</v>
      </c>
      <c r="H64" s="148">
        <v>3000</v>
      </c>
      <c r="I64" s="148">
        <v>42068</v>
      </c>
      <c r="J64" s="157">
        <v>1</v>
      </c>
      <c r="K64" s="148">
        <v>3000</v>
      </c>
      <c r="L64" s="148">
        <v>42068</v>
      </c>
      <c r="M64" s="148">
        <v>0</v>
      </c>
      <c r="N64" s="148">
        <v>0</v>
      </c>
      <c r="O64" s="148">
        <v>3000</v>
      </c>
      <c r="P64" s="148">
        <v>42068</v>
      </c>
      <c r="Q64" s="148">
        <v>0</v>
      </c>
      <c r="R64" s="148">
        <v>0</v>
      </c>
      <c r="S64" s="133">
        <v>0</v>
      </c>
      <c r="T64" s="133">
        <v>0</v>
      </c>
    </row>
    <row r="65" ht="17.25" customHeight="1" spans="1:20">
      <c r="A65" s="144">
        <v>7</v>
      </c>
      <c r="B65" s="145" t="s">
        <v>546</v>
      </c>
      <c r="C65" s="146" t="s">
        <v>547</v>
      </c>
      <c r="D65" s="145" t="s">
        <v>55</v>
      </c>
      <c r="E65" s="147">
        <v>0.0051</v>
      </c>
      <c r="F65" s="148">
        <v>2000000</v>
      </c>
      <c r="G65" s="148">
        <v>10200</v>
      </c>
      <c r="H65" s="148">
        <v>2000000</v>
      </c>
      <c r="I65" s="148">
        <v>10200</v>
      </c>
      <c r="J65" s="157">
        <v>1</v>
      </c>
      <c r="K65" s="148">
        <v>2000000</v>
      </c>
      <c r="L65" s="148">
        <v>10200</v>
      </c>
      <c r="M65" s="148">
        <v>0</v>
      </c>
      <c r="N65" s="148">
        <v>0</v>
      </c>
      <c r="O65" s="148">
        <v>2000000</v>
      </c>
      <c r="P65" s="148">
        <v>10200</v>
      </c>
      <c r="Q65" s="148">
        <v>0</v>
      </c>
      <c r="R65" s="148">
        <v>0</v>
      </c>
      <c r="S65" s="133">
        <v>0</v>
      </c>
      <c r="T65" s="133">
        <v>0</v>
      </c>
    </row>
    <row r="66" ht="17.25" customHeight="1" spans="1:20">
      <c r="A66" s="144">
        <v>8</v>
      </c>
      <c r="B66" s="145" t="s">
        <v>549</v>
      </c>
      <c r="C66" s="146" t="s">
        <v>550</v>
      </c>
      <c r="D66" s="145" t="s">
        <v>55</v>
      </c>
      <c r="E66" s="147">
        <v>0.0009</v>
      </c>
      <c r="F66" s="148">
        <v>2000000</v>
      </c>
      <c r="G66" s="148">
        <v>1800</v>
      </c>
      <c r="H66" s="148">
        <v>2000000</v>
      </c>
      <c r="I66" s="148">
        <v>1800</v>
      </c>
      <c r="J66" s="157">
        <v>1</v>
      </c>
      <c r="K66" s="148">
        <v>2000000</v>
      </c>
      <c r="L66" s="148">
        <v>1800</v>
      </c>
      <c r="M66" s="148">
        <v>0</v>
      </c>
      <c r="N66" s="148">
        <v>0</v>
      </c>
      <c r="O66" s="148">
        <v>2000000</v>
      </c>
      <c r="P66" s="148">
        <v>1800</v>
      </c>
      <c r="Q66" s="148">
        <v>0</v>
      </c>
      <c r="R66" s="148">
        <v>0</v>
      </c>
      <c r="S66" s="133">
        <v>0</v>
      </c>
      <c r="T66" s="133">
        <v>0</v>
      </c>
    </row>
    <row r="67" ht="17.25" customHeight="1" spans="1:20">
      <c r="A67" s="144">
        <v>9</v>
      </c>
      <c r="B67" s="145" t="s">
        <v>552</v>
      </c>
      <c r="C67" s="146" t="s">
        <v>553</v>
      </c>
      <c r="D67" s="145" t="s">
        <v>55</v>
      </c>
      <c r="E67" s="147">
        <v>0.3457</v>
      </c>
      <c r="F67" s="148">
        <v>2000000</v>
      </c>
      <c r="G67" s="148">
        <v>691400</v>
      </c>
      <c r="H67" s="148">
        <v>2000000</v>
      </c>
      <c r="I67" s="148">
        <v>691400</v>
      </c>
      <c r="J67" s="157">
        <v>1</v>
      </c>
      <c r="K67" s="148">
        <v>2000000</v>
      </c>
      <c r="L67" s="148">
        <v>691400</v>
      </c>
      <c r="M67" s="148">
        <v>0</v>
      </c>
      <c r="N67" s="148">
        <v>0</v>
      </c>
      <c r="O67" s="148">
        <v>2000000</v>
      </c>
      <c r="P67" s="148">
        <v>691400</v>
      </c>
      <c r="Q67" s="148">
        <v>0</v>
      </c>
      <c r="R67" s="148">
        <v>0</v>
      </c>
      <c r="S67" s="133">
        <v>0</v>
      </c>
      <c r="T67" s="133">
        <v>0</v>
      </c>
    </row>
    <row r="68" ht="17.25" customHeight="1" spans="1:20">
      <c r="A68" s="144">
        <v>10</v>
      </c>
      <c r="B68" s="145" t="s">
        <v>554</v>
      </c>
      <c r="C68" s="146" t="s">
        <v>555</v>
      </c>
      <c r="D68" s="145" t="s">
        <v>55</v>
      </c>
      <c r="E68" s="147">
        <v>0.2852</v>
      </c>
      <c r="F68" s="148">
        <v>2000000</v>
      </c>
      <c r="G68" s="148">
        <v>570400</v>
      </c>
      <c r="H68" s="148">
        <v>2000000</v>
      </c>
      <c r="I68" s="148">
        <v>570400</v>
      </c>
      <c r="J68" s="157">
        <v>1</v>
      </c>
      <c r="K68" s="148">
        <v>2000000</v>
      </c>
      <c r="L68" s="148">
        <v>570400</v>
      </c>
      <c r="M68" s="148">
        <v>0</v>
      </c>
      <c r="N68" s="148">
        <v>0</v>
      </c>
      <c r="O68" s="148">
        <v>2000000</v>
      </c>
      <c r="P68" s="148">
        <v>570400</v>
      </c>
      <c r="Q68" s="148">
        <v>0</v>
      </c>
      <c r="R68" s="148">
        <v>0</v>
      </c>
      <c r="S68" s="133">
        <v>0</v>
      </c>
      <c r="T68" s="133">
        <v>0</v>
      </c>
    </row>
    <row r="69" ht="17.25" customHeight="1" spans="1:20">
      <c r="A69" s="144">
        <v>11</v>
      </c>
      <c r="B69" s="145" t="s">
        <v>557</v>
      </c>
      <c r="C69" s="146" t="s">
        <v>558</v>
      </c>
      <c r="D69" s="145" t="s">
        <v>55</v>
      </c>
      <c r="E69" s="147">
        <v>0.0145</v>
      </c>
      <c r="F69" s="148">
        <v>2000000</v>
      </c>
      <c r="G69" s="148">
        <v>29000</v>
      </c>
      <c r="H69" s="148">
        <v>2000000</v>
      </c>
      <c r="I69" s="148">
        <v>29000</v>
      </c>
      <c r="J69" s="157">
        <v>1</v>
      </c>
      <c r="K69" s="148">
        <v>2000000</v>
      </c>
      <c r="L69" s="148">
        <v>29000</v>
      </c>
      <c r="M69" s="148">
        <v>0</v>
      </c>
      <c r="N69" s="148">
        <v>0</v>
      </c>
      <c r="O69" s="148">
        <v>2000000</v>
      </c>
      <c r="P69" s="148">
        <v>29000</v>
      </c>
      <c r="Q69" s="148">
        <v>0</v>
      </c>
      <c r="R69" s="148">
        <v>0</v>
      </c>
      <c r="S69" s="133">
        <v>0</v>
      </c>
      <c r="T69" s="133">
        <v>0</v>
      </c>
    </row>
    <row r="70" ht="17.25" customHeight="1" spans="1:20">
      <c r="A70" s="144">
        <v>12</v>
      </c>
      <c r="B70" s="145" t="s">
        <v>560</v>
      </c>
      <c r="C70" s="146" t="s">
        <v>561</v>
      </c>
      <c r="D70" s="145" t="s">
        <v>55</v>
      </c>
      <c r="E70" s="147">
        <v>0.2153</v>
      </c>
      <c r="F70" s="148">
        <v>2000000</v>
      </c>
      <c r="G70" s="148">
        <v>430600</v>
      </c>
      <c r="H70" s="148">
        <v>2000000</v>
      </c>
      <c r="I70" s="148">
        <v>430600</v>
      </c>
      <c r="J70" s="157">
        <v>1</v>
      </c>
      <c r="K70" s="148">
        <v>2000000</v>
      </c>
      <c r="L70" s="148">
        <v>430600</v>
      </c>
      <c r="M70" s="148">
        <v>0</v>
      </c>
      <c r="N70" s="148">
        <v>0</v>
      </c>
      <c r="O70" s="148">
        <v>2000000</v>
      </c>
      <c r="P70" s="148">
        <v>430600</v>
      </c>
      <c r="Q70" s="148">
        <v>0</v>
      </c>
      <c r="R70" s="148">
        <v>0</v>
      </c>
      <c r="S70" s="133">
        <v>0</v>
      </c>
      <c r="T70" s="133">
        <v>0</v>
      </c>
    </row>
    <row r="71" ht="17.25" customHeight="1" spans="1:20">
      <c r="A71" s="144">
        <v>13</v>
      </c>
      <c r="B71" s="145" t="s">
        <v>562</v>
      </c>
      <c r="C71" s="146" t="s">
        <v>563</v>
      </c>
      <c r="D71" s="145" t="s">
        <v>518</v>
      </c>
      <c r="E71" s="147">
        <v>74.1042</v>
      </c>
      <c r="F71" s="148">
        <v>0</v>
      </c>
      <c r="G71" s="148">
        <v>0</v>
      </c>
      <c r="H71" s="148">
        <v>69000</v>
      </c>
      <c r="I71" s="148">
        <v>5113190</v>
      </c>
      <c r="J71" s="157">
        <v>1</v>
      </c>
      <c r="K71" s="148">
        <v>69000</v>
      </c>
      <c r="L71" s="148">
        <v>5113190</v>
      </c>
      <c r="M71" s="148">
        <v>0</v>
      </c>
      <c r="N71" s="148">
        <v>0</v>
      </c>
      <c r="O71" s="148">
        <v>69000</v>
      </c>
      <c r="P71" s="148">
        <v>5113190</v>
      </c>
      <c r="Q71" s="148">
        <v>69000</v>
      </c>
      <c r="R71" s="148">
        <v>5113190</v>
      </c>
      <c r="S71" s="133">
        <v>0</v>
      </c>
      <c r="T71" s="133">
        <v>0</v>
      </c>
    </row>
    <row r="72" ht="17.25" customHeight="1" spans="1:20">
      <c r="A72" s="144">
        <v>14</v>
      </c>
      <c r="B72" s="145" t="s">
        <v>565</v>
      </c>
      <c r="C72" s="146" t="s">
        <v>566</v>
      </c>
      <c r="D72" s="145" t="s">
        <v>567</v>
      </c>
      <c r="E72" s="147">
        <v>183.793</v>
      </c>
      <c r="F72" s="148">
        <v>5</v>
      </c>
      <c r="G72" s="148">
        <v>919</v>
      </c>
      <c r="H72" s="148">
        <v>8</v>
      </c>
      <c r="I72" s="148">
        <v>1470</v>
      </c>
      <c r="J72" s="157">
        <v>1</v>
      </c>
      <c r="K72" s="148">
        <v>8</v>
      </c>
      <c r="L72" s="148">
        <v>1470</v>
      </c>
      <c r="M72" s="148">
        <v>0</v>
      </c>
      <c r="N72" s="148">
        <v>0</v>
      </c>
      <c r="O72" s="148">
        <v>8</v>
      </c>
      <c r="P72" s="148">
        <v>1470</v>
      </c>
      <c r="Q72" s="148">
        <v>3</v>
      </c>
      <c r="R72" s="148">
        <v>551</v>
      </c>
      <c r="S72" s="133">
        <v>0</v>
      </c>
      <c r="T72" s="133">
        <v>0</v>
      </c>
    </row>
    <row r="73" ht="17.25" customHeight="1" spans="1:20">
      <c r="A73" s="144">
        <v>15</v>
      </c>
      <c r="B73" s="145" t="s">
        <v>569</v>
      </c>
      <c r="C73" s="146" t="s">
        <v>570</v>
      </c>
      <c r="D73" s="145" t="s">
        <v>518</v>
      </c>
      <c r="E73" s="147">
        <v>15.4621</v>
      </c>
      <c r="F73" s="148">
        <v>18600</v>
      </c>
      <c r="G73" s="148">
        <v>287595</v>
      </c>
      <c r="H73" s="148">
        <v>19800</v>
      </c>
      <c r="I73" s="148">
        <v>306150</v>
      </c>
      <c r="J73" s="157">
        <v>1</v>
      </c>
      <c r="K73" s="148">
        <v>19800</v>
      </c>
      <c r="L73" s="148">
        <v>306150</v>
      </c>
      <c r="M73" s="148">
        <v>0</v>
      </c>
      <c r="N73" s="148">
        <v>0</v>
      </c>
      <c r="O73" s="148">
        <v>19800</v>
      </c>
      <c r="P73" s="148">
        <v>306150</v>
      </c>
      <c r="Q73" s="148">
        <v>1200</v>
      </c>
      <c r="R73" s="148">
        <v>18555</v>
      </c>
      <c r="S73" s="133">
        <v>0</v>
      </c>
      <c r="T73" s="133">
        <v>0</v>
      </c>
    </row>
    <row r="74" ht="17.25" customHeight="1" spans="1:20">
      <c r="A74" s="144">
        <v>16</v>
      </c>
      <c r="B74" s="145" t="s">
        <v>572</v>
      </c>
      <c r="C74" s="146" t="s">
        <v>573</v>
      </c>
      <c r="D74" s="145" t="s">
        <v>518</v>
      </c>
      <c r="E74" s="147">
        <v>3579.3075</v>
      </c>
      <c r="F74" s="148">
        <v>16010</v>
      </c>
      <c r="G74" s="148">
        <v>57304713</v>
      </c>
      <c r="H74" s="148">
        <v>12900</v>
      </c>
      <c r="I74" s="148">
        <v>46173067</v>
      </c>
      <c r="J74" s="157">
        <v>1</v>
      </c>
      <c r="K74" s="148">
        <v>12900</v>
      </c>
      <c r="L74" s="148">
        <v>46173067</v>
      </c>
      <c r="M74" s="148">
        <v>0</v>
      </c>
      <c r="N74" s="148">
        <v>0</v>
      </c>
      <c r="O74" s="148">
        <v>12900</v>
      </c>
      <c r="P74" s="148">
        <v>46173067</v>
      </c>
      <c r="Q74" s="148">
        <v>-3110</v>
      </c>
      <c r="R74" s="148">
        <v>-11131646</v>
      </c>
      <c r="S74" s="133">
        <v>0</v>
      </c>
      <c r="T74" s="133">
        <v>0</v>
      </c>
    </row>
    <row r="75" ht="17.25" customHeight="1" spans="1:20">
      <c r="A75" s="144">
        <v>17</v>
      </c>
      <c r="B75" s="145" t="s">
        <v>575</v>
      </c>
      <c r="C75" s="146" t="s">
        <v>576</v>
      </c>
      <c r="D75" s="145" t="s">
        <v>518</v>
      </c>
      <c r="E75" s="147">
        <v>2911.998</v>
      </c>
      <c r="F75" s="148">
        <v>15718</v>
      </c>
      <c r="G75" s="148">
        <v>45770785</v>
      </c>
      <c r="H75" s="148">
        <v>13300</v>
      </c>
      <c r="I75" s="148">
        <v>38729573</v>
      </c>
      <c r="J75" s="157">
        <v>1</v>
      </c>
      <c r="K75" s="148">
        <v>13300</v>
      </c>
      <c r="L75" s="148">
        <v>38729573</v>
      </c>
      <c r="M75" s="148">
        <v>0</v>
      </c>
      <c r="N75" s="148">
        <v>0</v>
      </c>
      <c r="O75" s="148">
        <v>13300</v>
      </c>
      <c r="P75" s="148">
        <v>38729573</v>
      </c>
      <c r="Q75" s="148">
        <v>-2418</v>
      </c>
      <c r="R75" s="148">
        <v>-7041212</v>
      </c>
      <c r="S75" s="133">
        <v>0</v>
      </c>
      <c r="T75" s="133">
        <v>0</v>
      </c>
    </row>
    <row r="76" ht="17.25" customHeight="1" spans="1:20">
      <c r="A76" s="144">
        <v>18</v>
      </c>
      <c r="B76" s="145" t="s">
        <v>578</v>
      </c>
      <c r="C76" s="146" t="s">
        <v>579</v>
      </c>
      <c r="D76" s="145" t="s">
        <v>518</v>
      </c>
      <c r="E76" s="147">
        <v>317.016</v>
      </c>
      <c r="F76" s="148">
        <v>15718</v>
      </c>
      <c r="G76" s="148">
        <v>4982857</v>
      </c>
      <c r="H76" s="148">
        <v>13300</v>
      </c>
      <c r="I76" s="148">
        <v>4216313</v>
      </c>
      <c r="J76" s="157">
        <v>1</v>
      </c>
      <c r="K76" s="148">
        <v>13300</v>
      </c>
      <c r="L76" s="148">
        <v>4216313</v>
      </c>
      <c r="M76" s="148">
        <v>0</v>
      </c>
      <c r="N76" s="148">
        <v>0</v>
      </c>
      <c r="O76" s="148">
        <v>13300</v>
      </c>
      <c r="P76" s="148">
        <v>4216313</v>
      </c>
      <c r="Q76" s="148">
        <v>-2418</v>
      </c>
      <c r="R76" s="148">
        <v>-766544</v>
      </c>
      <c r="S76" s="133">
        <v>0</v>
      </c>
      <c r="T76" s="133">
        <v>0</v>
      </c>
    </row>
    <row r="77" ht="17.25" customHeight="1" spans="1:20">
      <c r="A77" s="144">
        <v>19</v>
      </c>
      <c r="B77" s="145" t="s">
        <v>581</v>
      </c>
      <c r="C77" s="146" t="s">
        <v>582</v>
      </c>
      <c r="D77" s="145" t="s">
        <v>583</v>
      </c>
      <c r="E77" s="147">
        <v>76.6267</v>
      </c>
      <c r="F77" s="148">
        <v>0</v>
      </c>
      <c r="G77" s="148">
        <v>0</v>
      </c>
      <c r="H77" s="148">
        <v>200000</v>
      </c>
      <c r="I77" s="148">
        <v>15325340</v>
      </c>
      <c r="J77" s="157">
        <v>1</v>
      </c>
      <c r="K77" s="148">
        <v>200000</v>
      </c>
      <c r="L77" s="148">
        <v>15325340</v>
      </c>
      <c r="M77" s="148">
        <v>0</v>
      </c>
      <c r="N77" s="148">
        <v>0</v>
      </c>
      <c r="O77" s="148">
        <v>200000</v>
      </c>
      <c r="P77" s="148">
        <v>15325340</v>
      </c>
      <c r="Q77" s="148">
        <v>200000</v>
      </c>
      <c r="R77" s="148">
        <v>15325340</v>
      </c>
      <c r="S77" s="133">
        <v>0</v>
      </c>
      <c r="T77" s="133">
        <v>0</v>
      </c>
    </row>
    <row r="78" ht="17.25" customHeight="1" spans="1:20">
      <c r="A78" s="144">
        <v>20</v>
      </c>
      <c r="B78" s="145" t="s">
        <v>246</v>
      </c>
      <c r="C78" s="146" t="s">
        <v>585</v>
      </c>
      <c r="D78" s="145" t="s">
        <v>55</v>
      </c>
      <c r="E78" s="147">
        <v>6.6826</v>
      </c>
      <c r="F78" s="148">
        <v>716454</v>
      </c>
      <c r="G78" s="148">
        <v>4787776</v>
      </c>
      <c r="H78" s="148">
        <v>1100000</v>
      </c>
      <c r="I78" s="148">
        <v>7350860</v>
      </c>
      <c r="J78" s="157">
        <v>1</v>
      </c>
      <c r="K78" s="148">
        <v>1100000</v>
      </c>
      <c r="L78" s="148">
        <v>7350860</v>
      </c>
      <c r="M78" s="148">
        <v>0</v>
      </c>
      <c r="N78" s="148">
        <v>0</v>
      </c>
      <c r="O78" s="148">
        <v>1100000</v>
      </c>
      <c r="P78" s="148">
        <v>7350860</v>
      </c>
      <c r="Q78" s="148">
        <v>383546</v>
      </c>
      <c r="R78" s="148">
        <v>2563084</v>
      </c>
      <c r="S78" s="133">
        <v>0</v>
      </c>
      <c r="T78" s="133">
        <v>0</v>
      </c>
    </row>
    <row r="79" ht="17.25" customHeight="1" spans="1:20">
      <c r="A79" s="144">
        <v>21</v>
      </c>
      <c r="B79" s="145" t="s">
        <v>156</v>
      </c>
      <c r="C79" s="146" t="s">
        <v>585</v>
      </c>
      <c r="D79" s="145" t="s">
        <v>55</v>
      </c>
      <c r="E79" s="147">
        <v>49.894</v>
      </c>
      <c r="F79" s="148">
        <v>1133121</v>
      </c>
      <c r="G79" s="148">
        <v>56535939</v>
      </c>
      <c r="H79" s="148">
        <v>1100000</v>
      </c>
      <c r="I79" s="148">
        <v>54883400</v>
      </c>
      <c r="J79" s="157">
        <v>1</v>
      </c>
      <c r="K79" s="148">
        <v>1100000</v>
      </c>
      <c r="L79" s="148">
        <v>54883400</v>
      </c>
      <c r="M79" s="148">
        <v>0</v>
      </c>
      <c r="N79" s="148">
        <v>0</v>
      </c>
      <c r="O79" s="148">
        <v>1100000</v>
      </c>
      <c r="P79" s="148">
        <v>54883400</v>
      </c>
      <c r="Q79" s="148">
        <v>-33121</v>
      </c>
      <c r="R79" s="148">
        <v>-1652539</v>
      </c>
      <c r="S79" s="133">
        <v>0</v>
      </c>
      <c r="T79" s="133">
        <v>0</v>
      </c>
    </row>
    <row r="80" ht="17.25" customHeight="1" spans="1:20">
      <c r="A80" s="144">
        <v>22</v>
      </c>
      <c r="B80" s="145" t="s">
        <v>587</v>
      </c>
      <c r="C80" s="146" t="s">
        <v>588</v>
      </c>
      <c r="D80" s="145" t="s">
        <v>518</v>
      </c>
      <c r="E80" s="147">
        <v>329.2517</v>
      </c>
      <c r="F80" s="148">
        <v>1045</v>
      </c>
      <c r="G80" s="148">
        <v>344068</v>
      </c>
      <c r="H80" s="148">
        <v>1140</v>
      </c>
      <c r="I80" s="148">
        <v>375347</v>
      </c>
      <c r="J80" s="157">
        <v>1</v>
      </c>
      <c r="K80" s="148">
        <v>1140</v>
      </c>
      <c r="L80" s="148">
        <v>375347</v>
      </c>
      <c r="M80" s="148">
        <v>0</v>
      </c>
      <c r="N80" s="148">
        <v>0</v>
      </c>
      <c r="O80" s="148">
        <v>1140</v>
      </c>
      <c r="P80" s="148">
        <v>375347</v>
      </c>
      <c r="Q80" s="148">
        <v>95</v>
      </c>
      <c r="R80" s="148">
        <v>31279</v>
      </c>
      <c r="S80" s="133">
        <v>0</v>
      </c>
      <c r="T80" s="133">
        <v>0</v>
      </c>
    </row>
    <row r="81" ht="17.25" customHeight="1" spans="1:18">
      <c r="A81" s="144">
        <v>23</v>
      </c>
      <c r="B81" s="145" t="s">
        <v>793</v>
      </c>
      <c r="C81" s="146" t="s">
        <v>794</v>
      </c>
      <c r="D81" s="145" t="s">
        <v>792</v>
      </c>
      <c r="E81" s="147"/>
      <c r="F81" s="148"/>
      <c r="G81" s="148">
        <v>798140</v>
      </c>
      <c r="H81" s="148"/>
      <c r="I81" s="148"/>
      <c r="J81" s="157"/>
      <c r="K81" s="148"/>
      <c r="L81" s="148"/>
      <c r="M81" s="148"/>
      <c r="N81" s="148"/>
      <c r="O81" s="148"/>
      <c r="P81" s="148">
        <v>1830427</v>
      </c>
      <c r="Q81" s="148"/>
      <c r="R81" s="148">
        <v>1032287</v>
      </c>
    </row>
    <row r="82" ht="16.5" customHeight="1" spans="1:18">
      <c r="A82" s="140"/>
      <c r="B82" s="141"/>
      <c r="C82" s="149" t="s">
        <v>832</v>
      </c>
      <c r="D82" s="141"/>
      <c r="E82" s="150"/>
      <c r="F82" s="151"/>
      <c r="G82" s="151">
        <v>177933903</v>
      </c>
      <c r="H82" s="151"/>
      <c r="I82" s="151">
        <v>179791678</v>
      </c>
      <c r="J82" s="158"/>
      <c r="K82" s="151"/>
      <c r="L82" s="151">
        <v>179791678</v>
      </c>
      <c r="M82" s="151"/>
      <c r="N82" s="151">
        <v>0</v>
      </c>
      <c r="O82" s="151"/>
      <c r="P82" s="151">
        <v>181622105</v>
      </c>
      <c r="Q82" s="151"/>
      <c r="R82" s="151">
        <v>3688202</v>
      </c>
    </row>
    <row r="83" ht="16.5" customHeight="1" spans="1:18">
      <c r="A83" s="140" t="s">
        <v>590</v>
      </c>
      <c r="B83" s="141"/>
      <c r="C83" s="141" t="s">
        <v>833</v>
      </c>
      <c r="D83" s="141"/>
      <c r="E83" s="142"/>
      <c r="F83" s="143"/>
      <c r="G83" s="143"/>
      <c r="H83" s="143"/>
      <c r="I83" s="143"/>
      <c r="J83" s="156"/>
      <c r="K83" s="143"/>
      <c r="L83" s="143"/>
      <c r="M83" s="143"/>
      <c r="N83" s="143"/>
      <c r="O83" s="143"/>
      <c r="P83" s="143"/>
      <c r="Q83" s="143"/>
      <c r="R83" s="143"/>
    </row>
    <row r="84" ht="17.25" customHeight="1" spans="1:18">
      <c r="A84" s="144">
        <v>1</v>
      </c>
      <c r="B84" s="145" t="s">
        <v>592</v>
      </c>
      <c r="C84" s="146" t="s">
        <v>593</v>
      </c>
      <c r="D84" s="145" t="s">
        <v>594</v>
      </c>
      <c r="E84" s="147">
        <v>4.7011</v>
      </c>
      <c r="F84" s="148">
        <v>199123</v>
      </c>
      <c r="G84" s="148">
        <v>936097</v>
      </c>
      <c r="H84" s="148">
        <v>205597</v>
      </c>
      <c r="I84" s="148">
        <v>966532</v>
      </c>
      <c r="J84" s="157">
        <v>1</v>
      </c>
      <c r="K84" s="148">
        <v>205597</v>
      </c>
      <c r="L84" s="148">
        <v>966532</v>
      </c>
      <c r="M84" s="148"/>
      <c r="N84" s="148"/>
      <c r="O84" s="148">
        <v>205597</v>
      </c>
      <c r="P84" s="148">
        <v>966532</v>
      </c>
      <c r="Q84" s="148">
        <v>6474</v>
      </c>
      <c r="R84" s="148">
        <v>30435</v>
      </c>
    </row>
    <row r="85" ht="17.25" customHeight="1" spans="1:18">
      <c r="A85" s="144">
        <v>2</v>
      </c>
      <c r="B85" s="145" t="s">
        <v>596</v>
      </c>
      <c r="C85" s="146" t="s">
        <v>597</v>
      </c>
      <c r="D85" s="145" t="s">
        <v>594</v>
      </c>
      <c r="E85" s="147">
        <v>247.7959</v>
      </c>
      <c r="F85" s="148">
        <v>216523</v>
      </c>
      <c r="G85" s="148">
        <v>53653512</v>
      </c>
      <c r="H85" s="148">
        <v>224158</v>
      </c>
      <c r="I85" s="148">
        <v>55545433</v>
      </c>
      <c r="J85" s="157">
        <v>1</v>
      </c>
      <c r="K85" s="148">
        <v>224158</v>
      </c>
      <c r="L85" s="148">
        <v>55545433</v>
      </c>
      <c r="M85" s="148"/>
      <c r="N85" s="148"/>
      <c r="O85" s="148">
        <v>224158</v>
      </c>
      <c r="P85" s="148">
        <v>55545433</v>
      </c>
      <c r="Q85" s="148">
        <v>7635</v>
      </c>
      <c r="R85" s="148">
        <v>1891921</v>
      </c>
    </row>
    <row r="86" ht="17.25" customHeight="1" spans="1:18">
      <c r="A86" s="144">
        <v>3</v>
      </c>
      <c r="B86" s="145" t="s">
        <v>602</v>
      </c>
      <c r="C86" s="146" t="s">
        <v>603</v>
      </c>
      <c r="D86" s="145" t="s">
        <v>594</v>
      </c>
      <c r="E86" s="147">
        <v>98.8631</v>
      </c>
      <c r="F86" s="148">
        <v>233923</v>
      </c>
      <c r="G86" s="148">
        <v>23126353</v>
      </c>
      <c r="H86" s="148">
        <v>242718</v>
      </c>
      <c r="I86" s="148">
        <v>23995854</v>
      </c>
      <c r="J86" s="157">
        <v>1</v>
      </c>
      <c r="K86" s="148">
        <v>242718</v>
      </c>
      <c r="L86" s="148">
        <v>23995854</v>
      </c>
      <c r="M86" s="148"/>
      <c r="N86" s="148"/>
      <c r="O86" s="148">
        <v>242718</v>
      </c>
      <c r="P86" s="148">
        <v>23995854</v>
      </c>
      <c r="Q86" s="148">
        <v>8795</v>
      </c>
      <c r="R86" s="148">
        <v>869501</v>
      </c>
    </row>
    <row r="87" ht="17.25" customHeight="1" spans="1:18">
      <c r="A87" s="144">
        <v>4</v>
      </c>
      <c r="B87" s="145" t="s">
        <v>605</v>
      </c>
      <c r="C87" s="146" t="s">
        <v>606</v>
      </c>
      <c r="D87" s="145" t="s">
        <v>594</v>
      </c>
      <c r="E87" s="147">
        <v>51.1808</v>
      </c>
      <c r="F87" s="148">
        <v>254446</v>
      </c>
      <c r="G87" s="148">
        <v>13022750</v>
      </c>
      <c r="H87" s="148">
        <v>264611</v>
      </c>
      <c r="I87" s="148">
        <v>13543003</v>
      </c>
      <c r="J87" s="157">
        <v>1</v>
      </c>
      <c r="K87" s="148">
        <v>264611</v>
      </c>
      <c r="L87" s="148">
        <v>13543003</v>
      </c>
      <c r="M87" s="148"/>
      <c r="N87" s="148"/>
      <c r="O87" s="148">
        <v>264611</v>
      </c>
      <c r="P87" s="148">
        <v>13543003</v>
      </c>
      <c r="Q87" s="148">
        <v>10165</v>
      </c>
      <c r="R87" s="148">
        <v>520253</v>
      </c>
    </row>
    <row r="88" ht="16.5" customHeight="1" spans="1:18">
      <c r="A88" s="140"/>
      <c r="B88" s="141"/>
      <c r="C88" s="149" t="s">
        <v>834</v>
      </c>
      <c r="D88" s="141"/>
      <c r="E88" s="150"/>
      <c r="F88" s="151"/>
      <c r="G88" s="151">
        <v>90738712</v>
      </c>
      <c r="H88" s="151"/>
      <c r="I88" s="151">
        <v>94050822</v>
      </c>
      <c r="J88" s="158"/>
      <c r="K88" s="151"/>
      <c r="L88" s="151">
        <v>94050822</v>
      </c>
      <c r="M88" s="151"/>
      <c r="N88" s="151">
        <v>0</v>
      </c>
      <c r="O88" s="151"/>
      <c r="P88" s="151">
        <v>94050822</v>
      </c>
      <c r="Q88" s="151"/>
      <c r="R88" s="151">
        <v>3312110</v>
      </c>
    </row>
    <row r="89" ht="16.5" customHeight="1" spans="1:18">
      <c r="A89" s="140" t="s">
        <v>608</v>
      </c>
      <c r="B89" s="141"/>
      <c r="C89" s="141" t="s">
        <v>835</v>
      </c>
      <c r="D89" s="141"/>
      <c r="E89" s="142"/>
      <c r="F89" s="143"/>
      <c r="G89" s="143"/>
      <c r="H89" s="143"/>
      <c r="I89" s="143"/>
      <c r="J89" s="156"/>
      <c r="K89" s="143"/>
      <c r="L89" s="143"/>
      <c r="M89" s="143"/>
      <c r="N89" s="143"/>
      <c r="O89" s="143"/>
      <c r="P89" s="143"/>
      <c r="Q89" s="143"/>
      <c r="R89" s="143"/>
    </row>
    <row r="90" ht="17.25" customHeight="1" spans="1:18">
      <c r="A90" s="144">
        <v>1</v>
      </c>
      <c r="B90" s="145" t="s">
        <v>610</v>
      </c>
      <c r="C90" s="146" t="s">
        <v>611</v>
      </c>
      <c r="D90" s="145" t="s">
        <v>612</v>
      </c>
      <c r="E90" s="147">
        <v>0.5868</v>
      </c>
      <c r="F90" s="148">
        <v>1834515</v>
      </c>
      <c r="G90" s="148">
        <v>1076493</v>
      </c>
      <c r="H90" s="148">
        <v>1929643</v>
      </c>
      <c r="I90" s="148">
        <v>1132315</v>
      </c>
      <c r="J90" s="157">
        <v>1</v>
      </c>
      <c r="K90" s="148">
        <v>1929643</v>
      </c>
      <c r="L90" s="148">
        <v>1132315</v>
      </c>
      <c r="M90" s="148"/>
      <c r="N90" s="148">
        <v>0</v>
      </c>
      <c r="O90" s="148">
        <v>1929643</v>
      </c>
      <c r="P90" s="148">
        <v>1132315</v>
      </c>
      <c r="Q90" s="148">
        <v>95128</v>
      </c>
      <c r="R90" s="148">
        <v>55822</v>
      </c>
    </row>
    <row r="91" ht="17.25" customHeight="1" spans="1:18">
      <c r="A91" s="144">
        <v>2</v>
      </c>
      <c r="B91" s="145" t="s">
        <v>614</v>
      </c>
      <c r="C91" s="146" t="s">
        <v>615</v>
      </c>
      <c r="D91" s="145" t="s">
        <v>612</v>
      </c>
      <c r="E91" s="147">
        <v>1.5845</v>
      </c>
      <c r="F91" s="148">
        <v>2037169</v>
      </c>
      <c r="G91" s="148">
        <v>3227894</v>
      </c>
      <c r="H91" s="148">
        <v>2882825</v>
      </c>
      <c r="I91" s="148">
        <v>4567836</v>
      </c>
      <c r="J91" s="157">
        <v>1</v>
      </c>
      <c r="K91" s="148">
        <v>2882825</v>
      </c>
      <c r="L91" s="148">
        <v>4567836</v>
      </c>
      <c r="M91" s="148"/>
      <c r="N91" s="148">
        <v>0</v>
      </c>
      <c r="O91" s="148">
        <v>2882825</v>
      </c>
      <c r="P91" s="148">
        <v>4567836</v>
      </c>
      <c r="Q91" s="148">
        <v>845656</v>
      </c>
      <c r="R91" s="148">
        <v>1339942</v>
      </c>
    </row>
    <row r="92" ht="17.25" customHeight="1" spans="1:18">
      <c r="A92" s="144">
        <v>3</v>
      </c>
      <c r="B92" s="145" t="s">
        <v>621</v>
      </c>
      <c r="C92" s="146" t="s">
        <v>622</v>
      </c>
      <c r="D92" s="145" t="s">
        <v>612</v>
      </c>
      <c r="E92" s="147">
        <v>2.3953</v>
      </c>
      <c r="F92" s="148">
        <v>236812</v>
      </c>
      <c r="G92" s="148">
        <v>567236</v>
      </c>
      <c r="H92" s="148">
        <v>240449</v>
      </c>
      <c r="I92" s="148">
        <v>575947</v>
      </c>
      <c r="J92" s="157">
        <v>1</v>
      </c>
      <c r="K92" s="148">
        <v>240449</v>
      </c>
      <c r="L92" s="148">
        <v>575947</v>
      </c>
      <c r="M92" s="148"/>
      <c r="N92" s="148">
        <v>0</v>
      </c>
      <c r="O92" s="148">
        <v>240449</v>
      </c>
      <c r="P92" s="148">
        <v>575947</v>
      </c>
      <c r="Q92" s="148">
        <v>3637</v>
      </c>
      <c r="R92" s="148">
        <v>8711</v>
      </c>
    </row>
    <row r="93" ht="17.25" customHeight="1" spans="1:18">
      <c r="A93" s="144">
        <v>4</v>
      </c>
      <c r="B93" s="145" t="s">
        <v>633</v>
      </c>
      <c r="C93" s="146" t="s">
        <v>634</v>
      </c>
      <c r="D93" s="145" t="s">
        <v>612</v>
      </c>
      <c r="E93" s="147">
        <v>10.0497</v>
      </c>
      <c r="F93" s="148">
        <v>230940</v>
      </c>
      <c r="G93" s="148">
        <v>2320878</v>
      </c>
      <c r="H93" s="148">
        <v>237717</v>
      </c>
      <c r="I93" s="148">
        <v>2388985</v>
      </c>
      <c r="J93" s="157">
        <v>1</v>
      </c>
      <c r="K93" s="148">
        <v>237717</v>
      </c>
      <c r="L93" s="148">
        <v>2388985</v>
      </c>
      <c r="M93" s="148"/>
      <c r="N93" s="148">
        <v>0</v>
      </c>
      <c r="O93" s="148">
        <v>237717</v>
      </c>
      <c r="P93" s="148">
        <v>2388985</v>
      </c>
      <c r="Q93" s="148">
        <v>6777</v>
      </c>
      <c r="R93" s="148">
        <v>68107</v>
      </c>
    </row>
    <row r="94" ht="17.25" customHeight="1" spans="1:18">
      <c r="A94" s="144">
        <v>5</v>
      </c>
      <c r="B94" s="145" t="s">
        <v>636</v>
      </c>
      <c r="C94" s="146" t="s">
        <v>637</v>
      </c>
      <c r="D94" s="145" t="s">
        <v>612</v>
      </c>
      <c r="E94" s="147">
        <v>3.7241</v>
      </c>
      <c r="F94" s="148">
        <v>328420</v>
      </c>
      <c r="G94" s="148">
        <v>1223069</v>
      </c>
      <c r="H94" s="148">
        <v>361135</v>
      </c>
      <c r="I94" s="148">
        <v>1344903</v>
      </c>
      <c r="J94" s="157">
        <v>1</v>
      </c>
      <c r="K94" s="148">
        <v>361135</v>
      </c>
      <c r="L94" s="148">
        <v>1344903</v>
      </c>
      <c r="M94" s="148"/>
      <c r="N94" s="148">
        <v>0</v>
      </c>
      <c r="O94" s="148">
        <v>361135</v>
      </c>
      <c r="P94" s="148">
        <v>1344903</v>
      </c>
      <c r="Q94" s="148">
        <v>32715</v>
      </c>
      <c r="R94" s="148">
        <v>121834</v>
      </c>
    </row>
    <row r="95" ht="17.25" customHeight="1" spans="1:18">
      <c r="A95" s="144">
        <v>6</v>
      </c>
      <c r="B95" s="145" t="s">
        <v>642</v>
      </c>
      <c r="C95" s="146" t="s">
        <v>643</v>
      </c>
      <c r="D95" s="145" t="s">
        <v>612</v>
      </c>
      <c r="E95" s="147">
        <v>0.0784</v>
      </c>
      <c r="F95" s="148">
        <v>270051</v>
      </c>
      <c r="G95" s="148">
        <v>21172</v>
      </c>
      <c r="H95" s="148">
        <v>301306</v>
      </c>
      <c r="I95" s="148">
        <v>23622</v>
      </c>
      <c r="J95" s="157">
        <v>1</v>
      </c>
      <c r="K95" s="148">
        <v>301306</v>
      </c>
      <c r="L95" s="148">
        <v>23622</v>
      </c>
      <c r="M95" s="148"/>
      <c r="N95" s="148">
        <v>0</v>
      </c>
      <c r="O95" s="148">
        <v>301306</v>
      </c>
      <c r="P95" s="148">
        <v>23622</v>
      </c>
      <c r="Q95" s="148">
        <v>31255</v>
      </c>
      <c r="R95" s="148">
        <v>2450</v>
      </c>
    </row>
    <row r="96" ht="17.25" customHeight="1" spans="1:18">
      <c r="A96" s="144">
        <v>7</v>
      </c>
      <c r="B96" s="145" t="s">
        <v>645</v>
      </c>
      <c r="C96" s="146" t="s">
        <v>646</v>
      </c>
      <c r="D96" s="145" t="s">
        <v>612</v>
      </c>
      <c r="E96" s="147">
        <v>0.0188</v>
      </c>
      <c r="F96" s="148">
        <v>343100</v>
      </c>
      <c r="G96" s="148">
        <v>6450</v>
      </c>
      <c r="H96" s="148">
        <v>393344</v>
      </c>
      <c r="I96" s="148">
        <v>7395</v>
      </c>
      <c r="J96" s="157">
        <v>1</v>
      </c>
      <c r="K96" s="148">
        <v>393344</v>
      </c>
      <c r="L96" s="148">
        <v>7395</v>
      </c>
      <c r="M96" s="148"/>
      <c r="N96" s="148">
        <v>0</v>
      </c>
      <c r="O96" s="148">
        <v>393344</v>
      </c>
      <c r="P96" s="148">
        <v>7395</v>
      </c>
      <c r="Q96" s="148">
        <v>50244</v>
      </c>
      <c r="R96" s="148">
        <v>945</v>
      </c>
    </row>
    <row r="97" ht="17.25" customHeight="1" spans="1:18">
      <c r="A97" s="144">
        <v>8</v>
      </c>
      <c r="B97" s="145" t="s">
        <v>648</v>
      </c>
      <c r="C97" s="146" t="s">
        <v>649</v>
      </c>
      <c r="D97" s="145" t="s">
        <v>612</v>
      </c>
      <c r="E97" s="147">
        <v>0</v>
      </c>
      <c r="F97" s="148">
        <v>3535441</v>
      </c>
      <c r="G97" s="148">
        <v>0</v>
      </c>
      <c r="H97" s="148">
        <v>3878019</v>
      </c>
      <c r="I97" s="148">
        <v>0</v>
      </c>
      <c r="J97" s="157">
        <v>1</v>
      </c>
      <c r="K97" s="148">
        <v>3878019</v>
      </c>
      <c r="L97" s="148">
        <v>0</v>
      </c>
      <c r="M97" s="148"/>
      <c r="N97" s="148">
        <v>0</v>
      </c>
      <c r="O97" s="148">
        <v>3878019</v>
      </c>
      <c r="P97" s="148">
        <v>0</v>
      </c>
      <c r="Q97" s="148">
        <v>342578</v>
      </c>
      <c r="R97" s="148">
        <v>0</v>
      </c>
    </row>
    <row r="98" ht="17.25" customHeight="1" spans="1:18">
      <c r="A98" s="144">
        <v>9</v>
      </c>
      <c r="B98" s="145" t="s">
        <v>659</v>
      </c>
      <c r="C98" s="146" t="s">
        <v>657</v>
      </c>
      <c r="D98" s="145" t="s">
        <v>612</v>
      </c>
      <c r="E98" s="147">
        <v>1.3906</v>
      </c>
      <c r="F98" s="148">
        <v>517497</v>
      </c>
      <c r="G98" s="148">
        <v>719631</v>
      </c>
      <c r="H98" s="148">
        <v>740827</v>
      </c>
      <c r="I98" s="148">
        <v>1030194</v>
      </c>
      <c r="J98" s="157">
        <v>1</v>
      </c>
      <c r="K98" s="148">
        <v>740827</v>
      </c>
      <c r="L98" s="148">
        <v>1030194</v>
      </c>
      <c r="M98" s="148"/>
      <c r="N98" s="148">
        <v>0</v>
      </c>
      <c r="O98" s="148">
        <v>740827</v>
      </c>
      <c r="P98" s="148">
        <v>1030194</v>
      </c>
      <c r="Q98" s="148">
        <v>223330</v>
      </c>
      <c r="R98" s="148">
        <v>310563</v>
      </c>
    </row>
    <row r="99" ht="17.25" customHeight="1" spans="1:18">
      <c r="A99" s="144">
        <v>10</v>
      </c>
      <c r="B99" s="145" t="s">
        <v>656</v>
      </c>
      <c r="C99" s="146" t="s">
        <v>657</v>
      </c>
      <c r="D99" s="145" t="s">
        <v>612</v>
      </c>
      <c r="E99" s="147">
        <v>0.1939</v>
      </c>
      <c r="F99" s="148">
        <v>594337</v>
      </c>
      <c r="G99" s="148">
        <v>115242</v>
      </c>
      <c r="H99" s="148">
        <v>740827</v>
      </c>
      <c r="I99" s="148">
        <v>143646</v>
      </c>
      <c r="J99" s="157">
        <v>1</v>
      </c>
      <c r="K99" s="148">
        <v>740827</v>
      </c>
      <c r="L99" s="148">
        <v>143646</v>
      </c>
      <c r="M99" s="148"/>
      <c r="N99" s="148">
        <v>0</v>
      </c>
      <c r="O99" s="148">
        <v>740827</v>
      </c>
      <c r="P99" s="148">
        <v>143646</v>
      </c>
      <c r="Q99" s="148">
        <v>146490</v>
      </c>
      <c r="R99" s="148">
        <v>28404</v>
      </c>
    </row>
    <row r="100" ht="17.25" customHeight="1" spans="1:18">
      <c r="A100" s="144">
        <v>11</v>
      </c>
      <c r="B100" s="145" t="s">
        <v>660</v>
      </c>
      <c r="C100" s="146" t="s">
        <v>661</v>
      </c>
      <c r="D100" s="145" t="s">
        <v>612</v>
      </c>
      <c r="E100" s="147">
        <v>1.6221</v>
      </c>
      <c r="F100" s="148">
        <v>3590501</v>
      </c>
      <c r="G100" s="148">
        <v>5824152</v>
      </c>
      <c r="H100" s="148">
        <v>4019344</v>
      </c>
      <c r="I100" s="148">
        <v>6519778</v>
      </c>
      <c r="J100" s="157">
        <v>1</v>
      </c>
      <c r="K100" s="148">
        <v>4019344</v>
      </c>
      <c r="L100" s="148">
        <v>6519778</v>
      </c>
      <c r="M100" s="148"/>
      <c r="N100" s="148">
        <v>0</v>
      </c>
      <c r="O100" s="148">
        <v>4019344</v>
      </c>
      <c r="P100" s="148">
        <v>6519778</v>
      </c>
      <c r="Q100" s="148">
        <v>428843</v>
      </c>
      <c r="R100" s="148">
        <v>695626</v>
      </c>
    </row>
    <row r="101" ht="17.25" customHeight="1" spans="1:18">
      <c r="A101" s="144">
        <v>12</v>
      </c>
      <c r="B101" s="145" t="s">
        <v>790</v>
      </c>
      <c r="C101" s="146" t="s">
        <v>791</v>
      </c>
      <c r="D101" s="145" t="s">
        <v>792</v>
      </c>
      <c r="E101" s="147"/>
      <c r="F101" s="148"/>
      <c r="G101" s="148">
        <v>222481</v>
      </c>
      <c r="H101" s="148"/>
      <c r="I101" s="148"/>
      <c r="J101" s="157"/>
      <c r="K101" s="148"/>
      <c r="L101" s="148"/>
      <c r="M101" s="148"/>
      <c r="N101" s="148"/>
      <c r="O101" s="148"/>
      <c r="P101" s="148">
        <v>267501</v>
      </c>
      <c r="Q101" s="148"/>
      <c r="R101" s="148">
        <v>45020</v>
      </c>
    </row>
    <row r="102" ht="16.5" customHeight="1" spans="1:18">
      <c r="A102" s="140"/>
      <c r="B102" s="141"/>
      <c r="C102" s="149" t="s">
        <v>836</v>
      </c>
      <c r="D102" s="141"/>
      <c r="E102" s="151"/>
      <c r="F102" s="151"/>
      <c r="G102" s="151">
        <v>15324698</v>
      </c>
      <c r="H102" s="151"/>
      <c r="I102" s="151">
        <v>17734621</v>
      </c>
      <c r="J102" s="151"/>
      <c r="K102" s="151"/>
      <c r="L102" s="151">
        <v>17734621</v>
      </c>
      <c r="M102" s="151"/>
      <c r="N102" s="151">
        <v>0</v>
      </c>
      <c r="O102" s="151"/>
      <c r="P102" s="151">
        <v>18002122</v>
      </c>
      <c r="Q102" s="151"/>
      <c r="R102" s="151">
        <v>2677424</v>
      </c>
    </row>
  </sheetData>
  <mergeCells count="6">
    <mergeCell ref="A1:R1"/>
    <mergeCell ref="A2:R2"/>
    <mergeCell ref="A3:R3"/>
    <mergeCell ref="A54:R54"/>
    <mergeCell ref="A55:R55"/>
    <mergeCell ref="A56:R56"/>
  </mergeCells>
  <pageMargins left="0.45" right="0" top="0.32" bottom="0.17" header="0.572916666666667" footer="0.26"/>
  <pageSetup paperSize="9" scale="95" orientation="portrait" blackAndWhite="1" useFirstPageNumber="1" horizontalDpi="600" verticalDpi="600"/>
  <headerFooter alignWithMargins="0">
    <oddFooter>&amp;C&amp;P</oddFooter>
  </headerFooter>
  <rowBreaks count="1" manualBreakCount="1">
    <brk id="53" max="255" man="1"/>
  </rowBreaks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2"/>
  <sheetViews>
    <sheetView zoomScaleSheetLayoutView="60" workbookViewId="0">
      <selection activeCell="A1" sqref="A1:AP1"/>
    </sheetView>
  </sheetViews>
  <sheetFormatPr defaultColWidth="10" defaultRowHeight="15" customHeight="1"/>
  <cols>
    <col min="1" max="1" width="7.5" style="93" customWidth="1"/>
    <col min="2" max="2" width="16.8333333333333" style="93" customWidth="1"/>
    <col min="3" max="3" width="29.6666666666667" style="14" customWidth="1"/>
    <col min="4" max="4" width="11.1666666666667" style="93" customWidth="1"/>
    <col min="5" max="5" width="16.1666666666667" style="93" hidden="1" customWidth="1"/>
    <col min="6" max="6" width="9.83333333333333" style="14" customWidth="1"/>
    <col min="7" max="7" width="17.6666666666667" style="14" customWidth="1"/>
    <col min="8" max="8" width="11.8333333333333" style="14" customWidth="1"/>
    <col min="9" max="9" width="7.5" style="14" customWidth="1"/>
    <col min="10" max="10" width="8" style="14" customWidth="1"/>
    <col min="11" max="11" width="7.5" style="93" customWidth="1"/>
    <col min="12" max="12" width="7" style="14" customWidth="1"/>
    <col min="13" max="13" width="7.5" style="14" customWidth="1"/>
    <col min="14" max="14" width="7" style="14" customWidth="1"/>
    <col min="15" max="15" width="7" style="14" hidden="1" customWidth="1"/>
    <col min="16" max="16" width="9.33333333333333" style="14" hidden="1" customWidth="1"/>
    <col min="17" max="17" width="8.5" style="14" hidden="1" customWidth="1"/>
    <col min="18" max="18" width="14.3333333333333" style="93" customWidth="1"/>
    <col min="19" max="19" width="14.3333333333333" style="14" hidden="1" customWidth="1"/>
    <col min="20" max="20" width="14.3333333333333" style="14" customWidth="1"/>
    <col min="21" max="21" width="14.3333333333333" style="93" customWidth="1"/>
    <col min="22" max="22" width="14.3333333333333" style="14" hidden="1" customWidth="1"/>
    <col min="23" max="23" width="16.1666666666667" style="14" customWidth="1"/>
    <col min="24" max="24" width="9.5" style="14" customWidth="1"/>
    <col min="25" max="25" width="14.3333333333333" style="14" hidden="1" customWidth="1"/>
    <col min="26" max="37" width="13.5" style="14" hidden="1" customWidth="1"/>
    <col min="38" max="38" width="14.3333333333333" style="14" customWidth="1"/>
    <col min="39" max="39" width="20.8333333333333" style="14" hidden="1" customWidth="1"/>
    <col min="40" max="41" width="16.1666666666667" style="14" hidden="1" customWidth="1"/>
    <col min="42" max="42" width="20.8333333333333" style="14" hidden="1" customWidth="1"/>
    <col min="43" max="43" width="10" style="14" hidden="1" customWidth="1"/>
    <col min="44" max="16384" width="10" style="14"/>
  </cols>
  <sheetData>
    <row r="1" ht="26.25" customHeight="1" spans="1:1">
      <c r="A1" s="94" t="s">
        <v>838</v>
      </c>
    </row>
    <row r="2" ht="30" customHeight="1" spans="1:1">
      <c r="A2" s="95" t="s">
        <v>1</v>
      </c>
    </row>
    <row r="3" hidden="1" customHeight="1"/>
    <row r="4" ht="52.5" customHeight="1" spans="1:42">
      <c r="A4" s="96" t="s">
        <v>3</v>
      </c>
      <c r="B4" s="97" t="s">
        <v>4</v>
      </c>
      <c r="C4" s="98" t="s">
        <v>839</v>
      </c>
      <c r="D4" s="97" t="s">
        <v>840</v>
      </c>
      <c r="E4" s="97" t="s">
        <v>841</v>
      </c>
      <c r="F4" s="98" t="s">
        <v>842</v>
      </c>
      <c r="G4" s="98" t="s">
        <v>843</v>
      </c>
      <c r="H4" s="98" t="s">
        <v>844</v>
      </c>
      <c r="I4" s="98" t="s">
        <v>845</v>
      </c>
      <c r="J4" s="98" t="s">
        <v>846</v>
      </c>
      <c r="K4" s="97" t="s">
        <v>847</v>
      </c>
      <c r="L4" s="116" t="s">
        <v>848</v>
      </c>
      <c r="M4" s="116" t="str">
        <f>""</f>
        <v/>
      </c>
      <c r="N4" s="116" t="str">
        <f>""</f>
        <v/>
      </c>
      <c r="O4" s="92" t="str">
        <f>""</f>
        <v/>
      </c>
      <c r="P4" s="98" t="s">
        <v>849</v>
      </c>
      <c r="Q4" s="98" t="s">
        <v>850</v>
      </c>
      <c r="R4" s="97" t="s">
        <v>851</v>
      </c>
      <c r="S4" s="98" t="s">
        <v>852</v>
      </c>
      <c r="T4" s="98" t="s">
        <v>853</v>
      </c>
      <c r="U4" s="97" t="s">
        <v>854</v>
      </c>
      <c r="V4" s="98" t="s">
        <v>855</v>
      </c>
      <c r="W4" s="98" t="s">
        <v>856</v>
      </c>
      <c r="X4" s="98" t="s">
        <v>857</v>
      </c>
      <c r="Y4" s="98" t="s">
        <v>858</v>
      </c>
      <c r="Z4" s="98" t="s">
        <v>859</v>
      </c>
      <c r="AA4" s="98" t="s">
        <v>860</v>
      </c>
      <c r="AB4" s="98" t="s">
        <v>861</v>
      </c>
      <c r="AC4" s="98" t="s">
        <v>862</v>
      </c>
      <c r="AD4" s="98" t="s">
        <v>863</v>
      </c>
      <c r="AE4" s="98" t="s">
        <v>864</v>
      </c>
      <c r="AF4" s="98" t="s">
        <v>865</v>
      </c>
      <c r="AG4" s="98" t="s">
        <v>866</v>
      </c>
      <c r="AH4" s="98" t="s">
        <v>867</v>
      </c>
      <c r="AI4" s="98" t="s">
        <v>868</v>
      </c>
      <c r="AJ4" s="98" t="s">
        <v>869</v>
      </c>
      <c r="AK4" s="98" t="s">
        <v>870</v>
      </c>
      <c r="AL4" s="98" t="s">
        <v>871</v>
      </c>
      <c r="AM4" s="98" t="s">
        <v>872</v>
      </c>
      <c r="AN4" s="98" t="s">
        <v>873</v>
      </c>
      <c r="AO4" s="98" t="s">
        <v>874</v>
      </c>
      <c r="AP4" s="98" t="s">
        <v>875</v>
      </c>
    </row>
    <row r="5" ht="85.5" customHeight="1" spans="1:42">
      <c r="A5" s="99" t="str">
        <f t="shared" ref="A5:K5" si="0">""</f>
        <v/>
      </c>
      <c r="B5" s="100" t="str">
        <f t="shared" si="0"/>
        <v/>
      </c>
      <c r="C5" s="101" t="str">
        <f t="shared" si="0"/>
        <v/>
      </c>
      <c r="D5" s="100" t="str">
        <f t="shared" si="0"/>
        <v/>
      </c>
      <c r="E5" s="100" t="str">
        <f t="shared" si="0"/>
        <v/>
      </c>
      <c r="F5" s="101" t="str">
        <f t="shared" si="0"/>
        <v/>
      </c>
      <c r="G5" s="101" t="str">
        <f t="shared" si="0"/>
        <v/>
      </c>
      <c r="H5" s="101" t="str">
        <f t="shared" si="0"/>
        <v/>
      </c>
      <c r="I5" s="101" t="str">
        <f t="shared" si="0"/>
        <v/>
      </c>
      <c r="J5" s="101" t="str">
        <f t="shared" si="0"/>
        <v/>
      </c>
      <c r="K5" s="100" t="str">
        <f t="shared" si="0"/>
        <v/>
      </c>
      <c r="L5" s="101" t="s">
        <v>876</v>
      </c>
      <c r="M5" s="101" t="s">
        <v>877</v>
      </c>
      <c r="N5" s="101" t="s">
        <v>878</v>
      </c>
      <c r="O5" s="101" t="s">
        <v>879</v>
      </c>
      <c r="P5" s="101" t="str">
        <f t="shared" ref="P5:AP5" si="1">""</f>
        <v/>
      </c>
      <c r="Q5" s="101" t="str">
        <f t="shared" si="1"/>
        <v/>
      </c>
      <c r="R5" s="100" t="str">
        <f t="shared" si="1"/>
        <v/>
      </c>
      <c r="S5" s="101" t="str">
        <f t="shared" si="1"/>
        <v/>
      </c>
      <c r="T5" s="101" t="str">
        <f t="shared" si="1"/>
        <v/>
      </c>
      <c r="U5" s="100" t="str">
        <f t="shared" si="1"/>
        <v/>
      </c>
      <c r="V5" s="101" t="str">
        <f t="shared" si="1"/>
        <v/>
      </c>
      <c r="W5" s="101" t="str">
        <f t="shared" si="1"/>
        <v/>
      </c>
      <c r="X5" s="101" t="str">
        <f t="shared" si="1"/>
        <v/>
      </c>
      <c r="Y5" s="101" t="str">
        <f t="shared" si="1"/>
        <v/>
      </c>
      <c r="Z5" s="101" t="str">
        <f t="shared" si="1"/>
        <v/>
      </c>
      <c r="AA5" s="101" t="str">
        <f t="shared" si="1"/>
        <v/>
      </c>
      <c r="AB5" s="101" t="str">
        <f t="shared" si="1"/>
        <v/>
      </c>
      <c r="AC5" s="101" t="str">
        <f t="shared" si="1"/>
        <v/>
      </c>
      <c r="AD5" s="101" t="str">
        <f t="shared" si="1"/>
        <v/>
      </c>
      <c r="AE5" s="101" t="str">
        <f t="shared" si="1"/>
        <v/>
      </c>
      <c r="AF5" s="101" t="str">
        <f t="shared" si="1"/>
        <v/>
      </c>
      <c r="AG5" s="101" t="str">
        <f t="shared" si="1"/>
        <v/>
      </c>
      <c r="AH5" s="101" t="str">
        <f t="shared" si="1"/>
        <v/>
      </c>
      <c r="AI5" s="101" t="str">
        <f t="shared" si="1"/>
        <v/>
      </c>
      <c r="AJ5" s="101" t="str">
        <f t="shared" si="1"/>
        <v/>
      </c>
      <c r="AK5" s="101" t="str">
        <f t="shared" si="1"/>
        <v/>
      </c>
      <c r="AL5" s="101" t="str">
        <f t="shared" si="1"/>
        <v/>
      </c>
      <c r="AM5" s="101" t="str">
        <f t="shared" si="1"/>
        <v/>
      </c>
      <c r="AN5" s="101" t="str">
        <f t="shared" si="1"/>
        <v/>
      </c>
      <c r="AO5" s="101" t="str">
        <f t="shared" si="1"/>
        <v/>
      </c>
      <c r="AP5" s="101" t="str">
        <f t="shared" si="1"/>
        <v/>
      </c>
    </row>
    <row r="6" ht="29.25" customHeight="1" spans="1:43">
      <c r="A6" s="102">
        <v>1</v>
      </c>
      <c r="B6" s="103" t="s">
        <v>506</v>
      </c>
      <c r="C6" s="104" t="s">
        <v>507</v>
      </c>
      <c r="D6" s="103" t="s">
        <v>55</v>
      </c>
      <c r="E6" s="105">
        <v>17.2996</v>
      </c>
      <c r="F6" s="127">
        <v>1.30999994277954</v>
      </c>
      <c r="G6" s="128"/>
      <c r="H6" s="106" t="s">
        <v>880</v>
      </c>
      <c r="I6" s="131">
        <v>1</v>
      </c>
      <c r="J6" s="127">
        <v>1</v>
      </c>
      <c r="K6" s="105"/>
      <c r="L6" s="108"/>
      <c r="M6" s="107"/>
      <c r="N6" s="117">
        <v>1</v>
      </c>
      <c r="O6" s="108"/>
      <c r="P6" s="117">
        <v>1</v>
      </c>
      <c r="Q6" s="117">
        <v>1</v>
      </c>
      <c r="R6" s="125"/>
      <c r="S6" s="117"/>
      <c r="T6" s="117">
        <v>1</v>
      </c>
      <c r="U6" s="125">
        <f t="shared" ref="U6:U32" si="2">ROUND(J6*N6*P6*Q6*R6*T6,0)</f>
        <v>0</v>
      </c>
      <c r="V6" s="117">
        <v>0</v>
      </c>
      <c r="W6" s="117">
        <f t="shared" ref="W6:W32" si="3">ROUND(F6*L6*U6-F6*J6*N6*O6*S6*T6+F6*V6,0)</f>
        <v>0</v>
      </c>
      <c r="X6" s="117">
        <v>1</v>
      </c>
      <c r="Y6" s="117">
        <f t="shared" ref="Y6:Y32" si="4">ROUND(W6*X6,0)</f>
        <v>0</v>
      </c>
      <c r="Z6" s="117"/>
      <c r="AA6" s="117"/>
      <c r="AB6" s="117"/>
      <c r="AC6" s="117"/>
      <c r="AD6" s="117">
        <f t="shared" ref="AD6:AD32" si="5">ROUND((AA6+AB6)*AC6,0)</f>
        <v>0</v>
      </c>
      <c r="AE6" s="117"/>
      <c r="AF6" s="117">
        <f t="shared" ref="AF6:AF32" si="6">ROUND(AE6*AN6,0)</f>
        <v>0</v>
      </c>
      <c r="AG6" s="117"/>
      <c r="AH6" s="117"/>
      <c r="AI6" s="117">
        <f t="shared" ref="AI6:AI32" si="7">ROUND(AC6*(AG6+AH6),0)</f>
        <v>0</v>
      </c>
      <c r="AJ6" s="117"/>
      <c r="AK6" s="117">
        <f t="shared" ref="AK6:AK32" si="8">ROUND(AJ6*((Y6+Z6)/1.1+AD6+AF6+AN6),0)</f>
        <v>0</v>
      </c>
      <c r="AL6" s="119">
        <f t="shared" ref="AL6:AL32" si="9">ROUND((Y6+Z6)/1+AD6+AF6+AI6+AK6,0)</f>
        <v>0</v>
      </c>
      <c r="AM6" s="117">
        <f t="shared" ref="AM6:AM32" si="10">ROUND(E6*AL6,0)</f>
        <v>0</v>
      </c>
      <c r="AN6" s="117">
        <v>73730</v>
      </c>
      <c r="AO6" s="117">
        <f t="shared" ref="AO6:AO32" si="11">ROUND(AL6+AN6,0)</f>
        <v>73730</v>
      </c>
      <c r="AP6" s="117">
        <f t="shared" ref="AP6:AP32" si="12">ROUND(E6*AO6,0)</f>
        <v>1275500</v>
      </c>
      <c r="AQ6" s="14">
        <v>1</v>
      </c>
    </row>
    <row r="7" ht="29.25" customHeight="1" spans="1:43">
      <c r="A7" s="102">
        <v>2</v>
      </c>
      <c r="B7" s="103" t="s">
        <v>510</v>
      </c>
      <c r="C7" s="104" t="s">
        <v>511</v>
      </c>
      <c r="D7" s="103" t="s">
        <v>55</v>
      </c>
      <c r="E7" s="105">
        <v>1.3637</v>
      </c>
      <c r="F7" s="127">
        <v>1.37999999523163</v>
      </c>
      <c r="G7" s="128"/>
      <c r="H7" s="106" t="s">
        <v>880</v>
      </c>
      <c r="I7" s="131">
        <v>1</v>
      </c>
      <c r="J7" s="127">
        <v>1</v>
      </c>
      <c r="K7" s="105"/>
      <c r="L7" s="108"/>
      <c r="M7" s="107"/>
      <c r="N7" s="117">
        <v>1</v>
      </c>
      <c r="O7" s="108"/>
      <c r="P7" s="117">
        <v>1</v>
      </c>
      <c r="Q7" s="117">
        <v>1</v>
      </c>
      <c r="R7" s="125"/>
      <c r="S7" s="117"/>
      <c r="T7" s="117">
        <v>1</v>
      </c>
      <c r="U7" s="125">
        <f t="shared" si="2"/>
        <v>0</v>
      </c>
      <c r="V7" s="117">
        <v>0</v>
      </c>
      <c r="W7" s="117">
        <f t="shared" si="3"/>
        <v>0</v>
      </c>
      <c r="X7" s="117">
        <v>1</v>
      </c>
      <c r="Y7" s="117">
        <f t="shared" si="4"/>
        <v>0</v>
      </c>
      <c r="Z7" s="117"/>
      <c r="AA7" s="117"/>
      <c r="AB7" s="117"/>
      <c r="AC7" s="117"/>
      <c r="AD7" s="117">
        <f t="shared" si="5"/>
        <v>0</v>
      </c>
      <c r="AE7" s="117"/>
      <c r="AF7" s="117">
        <f t="shared" si="6"/>
        <v>0</v>
      </c>
      <c r="AG7" s="117"/>
      <c r="AH7" s="117"/>
      <c r="AI7" s="117">
        <f t="shared" si="7"/>
        <v>0</v>
      </c>
      <c r="AJ7" s="117"/>
      <c r="AK7" s="117">
        <f t="shared" si="8"/>
        <v>0</v>
      </c>
      <c r="AL7" s="119">
        <f t="shared" si="9"/>
        <v>0</v>
      </c>
      <c r="AM7" s="117">
        <f t="shared" si="10"/>
        <v>0</v>
      </c>
      <c r="AN7" s="117">
        <v>84840</v>
      </c>
      <c r="AO7" s="117">
        <f t="shared" si="11"/>
        <v>84840</v>
      </c>
      <c r="AP7" s="117">
        <f t="shared" si="12"/>
        <v>115696</v>
      </c>
      <c r="AQ7" s="14">
        <v>1</v>
      </c>
    </row>
    <row r="8" ht="29.25" customHeight="1" spans="1:43">
      <c r="A8" s="102">
        <v>3</v>
      </c>
      <c r="B8" s="103" t="s">
        <v>513</v>
      </c>
      <c r="C8" s="104" t="s">
        <v>514</v>
      </c>
      <c r="D8" s="103" t="s">
        <v>55</v>
      </c>
      <c r="E8" s="105">
        <v>2.2364</v>
      </c>
      <c r="F8" s="127">
        <v>1.45000004768372</v>
      </c>
      <c r="G8" s="128"/>
      <c r="H8" s="106" t="s">
        <v>880</v>
      </c>
      <c r="I8" s="131">
        <v>1</v>
      </c>
      <c r="J8" s="127">
        <v>1</v>
      </c>
      <c r="K8" s="105"/>
      <c r="L8" s="108"/>
      <c r="M8" s="107"/>
      <c r="N8" s="117">
        <v>1</v>
      </c>
      <c r="O8" s="108"/>
      <c r="P8" s="117">
        <v>1</v>
      </c>
      <c r="Q8" s="117">
        <v>1</v>
      </c>
      <c r="R8" s="125"/>
      <c r="S8" s="117"/>
      <c r="T8" s="117">
        <v>1</v>
      </c>
      <c r="U8" s="125">
        <f t="shared" si="2"/>
        <v>0</v>
      </c>
      <c r="V8" s="117">
        <v>0</v>
      </c>
      <c r="W8" s="117">
        <f t="shared" si="3"/>
        <v>0</v>
      </c>
      <c r="X8" s="117">
        <v>1</v>
      </c>
      <c r="Y8" s="117">
        <f t="shared" si="4"/>
        <v>0</v>
      </c>
      <c r="Z8" s="117"/>
      <c r="AA8" s="117"/>
      <c r="AB8" s="117"/>
      <c r="AC8" s="117"/>
      <c r="AD8" s="117">
        <f t="shared" si="5"/>
        <v>0</v>
      </c>
      <c r="AE8" s="117"/>
      <c r="AF8" s="117">
        <f t="shared" si="6"/>
        <v>0</v>
      </c>
      <c r="AG8" s="117"/>
      <c r="AH8" s="117"/>
      <c r="AI8" s="117">
        <f t="shared" si="7"/>
        <v>0</v>
      </c>
      <c r="AJ8" s="117"/>
      <c r="AK8" s="117">
        <f t="shared" si="8"/>
        <v>0</v>
      </c>
      <c r="AL8" s="119">
        <f t="shared" si="9"/>
        <v>0</v>
      </c>
      <c r="AM8" s="117">
        <f t="shared" si="10"/>
        <v>0</v>
      </c>
      <c r="AN8" s="117">
        <v>258560</v>
      </c>
      <c r="AO8" s="117">
        <f t="shared" si="11"/>
        <v>258560</v>
      </c>
      <c r="AP8" s="117">
        <f t="shared" si="12"/>
        <v>578244</v>
      </c>
      <c r="AQ8" s="14">
        <v>1</v>
      </c>
    </row>
    <row r="9" ht="29.25" customHeight="1" spans="1:43">
      <c r="A9" s="102">
        <v>4</v>
      </c>
      <c r="B9" s="103" t="s">
        <v>516</v>
      </c>
      <c r="C9" s="104" t="s">
        <v>517</v>
      </c>
      <c r="D9" s="103" t="s">
        <v>518</v>
      </c>
      <c r="E9" s="105">
        <v>166.271</v>
      </c>
      <c r="F9" s="127">
        <v>0.00100000004749745</v>
      </c>
      <c r="G9" s="128"/>
      <c r="H9" s="106" t="s">
        <v>880</v>
      </c>
      <c r="I9" s="131">
        <v>2</v>
      </c>
      <c r="J9" s="127">
        <v>1</v>
      </c>
      <c r="K9" s="105"/>
      <c r="L9" s="108"/>
      <c r="M9" s="107"/>
      <c r="N9" s="117">
        <v>1</v>
      </c>
      <c r="O9" s="108"/>
      <c r="P9" s="117">
        <v>1</v>
      </c>
      <c r="Q9" s="117">
        <v>1</v>
      </c>
      <c r="R9" s="125"/>
      <c r="S9" s="117"/>
      <c r="T9" s="117">
        <v>1</v>
      </c>
      <c r="U9" s="125">
        <f t="shared" si="2"/>
        <v>0</v>
      </c>
      <c r="V9" s="117">
        <v>0</v>
      </c>
      <c r="W9" s="117">
        <f t="shared" si="3"/>
        <v>0</v>
      </c>
      <c r="X9" s="117">
        <v>1</v>
      </c>
      <c r="Y9" s="117">
        <f t="shared" si="4"/>
        <v>0</v>
      </c>
      <c r="Z9" s="117"/>
      <c r="AA9" s="117"/>
      <c r="AB9" s="117"/>
      <c r="AC9" s="117"/>
      <c r="AD9" s="117">
        <f t="shared" si="5"/>
        <v>0</v>
      </c>
      <c r="AE9" s="117"/>
      <c r="AF9" s="117">
        <f t="shared" si="6"/>
        <v>0</v>
      </c>
      <c r="AG9" s="117"/>
      <c r="AH9" s="117"/>
      <c r="AI9" s="117">
        <f t="shared" si="7"/>
        <v>0</v>
      </c>
      <c r="AJ9" s="117"/>
      <c r="AK9" s="117">
        <f t="shared" si="8"/>
        <v>0</v>
      </c>
      <c r="AL9" s="119">
        <f t="shared" si="9"/>
        <v>0</v>
      </c>
      <c r="AM9" s="117">
        <f t="shared" si="10"/>
        <v>0</v>
      </c>
      <c r="AN9" s="117">
        <v>16190</v>
      </c>
      <c r="AO9" s="117">
        <f t="shared" si="11"/>
        <v>16190</v>
      </c>
      <c r="AP9" s="117">
        <f t="shared" si="12"/>
        <v>2691927</v>
      </c>
      <c r="AQ9" s="14">
        <v>1</v>
      </c>
    </row>
    <row r="10" ht="29.25" customHeight="1" spans="1:43">
      <c r="A10" s="102">
        <v>5</v>
      </c>
      <c r="B10" s="103" t="s">
        <v>521</v>
      </c>
      <c r="C10" s="104" t="s">
        <v>522</v>
      </c>
      <c r="D10" s="103" t="s">
        <v>518</v>
      </c>
      <c r="E10" s="105">
        <v>149.0569</v>
      </c>
      <c r="F10" s="127">
        <v>0.00100000004749745</v>
      </c>
      <c r="G10" s="128"/>
      <c r="H10" s="106" t="s">
        <v>880</v>
      </c>
      <c r="I10" s="131"/>
      <c r="J10" s="127">
        <v>1</v>
      </c>
      <c r="K10" s="105"/>
      <c r="L10" s="108"/>
      <c r="M10" s="107"/>
      <c r="N10" s="117">
        <v>1</v>
      </c>
      <c r="O10" s="108"/>
      <c r="P10" s="117">
        <v>1</v>
      </c>
      <c r="Q10" s="117">
        <v>1</v>
      </c>
      <c r="R10" s="125"/>
      <c r="S10" s="117"/>
      <c r="T10" s="117">
        <v>1</v>
      </c>
      <c r="U10" s="125">
        <f t="shared" si="2"/>
        <v>0</v>
      </c>
      <c r="V10" s="117">
        <v>0</v>
      </c>
      <c r="W10" s="117">
        <f t="shared" si="3"/>
        <v>0</v>
      </c>
      <c r="X10" s="117">
        <v>1</v>
      </c>
      <c r="Y10" s="117">
        <f t="shared" si="4"/>
        <v>0</v>
      </c>
      <c r="Z10" s="117"/>
      <c r="AA10" s="117"/>
      <c r="AB10" s="117"/>
      <c r="AC10" s="117"/>
      <c r="AD10" s="117">
        <f t="shared" si="5"/>
        <v>0</v>
      </c>
      <c r="AE10" s="117"/>
      <c r="AF10" s="117">
        <f t="shared" si="6"/>
        <v>0</v>
      </c>
      <c r="AG10" s="117"/>
      <c r="AH10" s="117"/>
      <c r="AI10" s="117">
        <f t="shared" si="7"/>
        <v>0</v>
      </c>
      <c r="AJ10" s="117"/>
      <c r="AK10" s="117">
        <f t="shared" si="8"/>
        <v>0</v>
      </c>
      <c r="AL10" s="119">
        <f t="shared" si="9"/>
        <v>0</v>
      </c>
      <c r="AM10" s="117">
        <f t="shared" si="10"/>
        <v>0</v>
      </c>
      <c r="AN10" s="117">
        <v>20000</v>
      </c>
      <c r="AO10" s="117">
        <f t="shared" si="11"/>
        <v>20000</v>
      </c>
      <c r="AP10" s="117">
        <f t="shared" si="12"/>
        <v>2981138</v>
      </c>
      <c r="AQ10" s="14">
        <v>1</v>
      </c>
    </row>
    <row r="11" ht="29.25" customHeight="1" spans="1:43">
      <c r="A11" s="102">
        <v>6</v>
      </c>
      <c r="B11" s="103" t="s">
        <v>524</v>
      </c>
      <c r="C11" s="104" t="s">
        <v>525</v>
      </c>
      <c r="D11" s="103" t="s">
        <v>526</v>
      </c>
      <c r="E11" s="105">
        <v>0.5539</v>
      </c>
      <c r="F11" s="127"/>
      <c r="G11" s="128"/>
      <c r="H11" s="106" t="s">
        <v>880</v>
      </c>
      <c r="I11" s="131"/>
      <c r="J11" s="127">
        <v>1</v>
      </c>
      <c r="K11" s="105"/>
      <c r="L11" s="108"/>
      <c r="M11" s="107"/>
      <c r="N11" s="117">
        <v>1</v>
      </c>
      <c r="O11" s="108"/>
      <c r="P11" s="117">
        <v>1</v>
      </c>
      <c r="Q11" s="117">
        <v>1</v>
      </c>
      <c r="R11" s="125"/>
      <c r="S11" s="117"/>
      <c r="T11" s="117">
        <v>1</v>
      </c>
      <c r="U11" s="125">
        <f t="shared" si="2"/>
        <v>0</v>
      </c>
      <c r="V11" s="117">
        <v>0</v>
      </c>
      <c r="W11" s="117">
        <f t="shared" si="3"/>
        <v>0</v>
      </c>
      <c r="X11" s="117">
        <v>1</v>
      </c>
      <c r="Y11" s="117">
        <f t="shared" si="4"/>
        <v>0</v>
      </c>
      <c r="Z11" s="117"/>
      <c r="AA11" s="117"/>
      <c r="AB11" s="117"/>
      <c r="AC11" s="117"/>
      <c r="AD11" s="117">
        <f t="shared" si="5"/>
        <v>0</v>
      </c>
      <c r="AE11" s="117"/>
      <c r="AF11" s="117">
        <f t="shared" si="6"/>
        <v>0</v>
      </c>
      <c r="AG11" s="117"/>
      <c r="AH11" s="117"/>
      <c r="AI11" s="117">
        <f t="shared" si="7"/>
        <v>0</v>
      </c>
      <c r="AJ11" s="117"/>
      <c r="AK11" s="117">
        <f t="shared" si="8"/>
        <v>0</v>
      </c>
      <c r="AL11" s="119">
        <f t="shared" si="9"/>
        <v>0</v>
      </c>
      <c r="AM11" s="117">
        <f t="shared" si="10"/>
        <v>0</v>
      </c>
      <c r="AN11" s="117">
        <v>15500</v>
      </c>
      <c r="AO11" s="117">
        <f t="shared" si="11"/>
        <v>15500</v>
      </c>
      <c r="AP11" s="117">
        <f t="shared" si="12"/>
        <v>8585</v>
      </c>
      <c r="AQ11" s="14">
        <v>1</v>
      </c>
    </row>
    <row r="12" ht="29.25" customHeight="1" spans="1:43">
      <c r="A12" s="102">
        <v>7</v>
      </c>
      <c r="B12" s="103" t="s">
        <v>527</v>
      </c>
      <c r="C12" s="104" t="s">
        <v>528</v>
      </c>
      <c r="D12" s="103" t="s">
        <v>55</v>
      </c>
      <c r="E12" s="105">
        <v>1.6489</v>
      </c>
      <c r="F12" s="127">
        <v>1.60000002384186</v>
      </c>
      <c r="G12" s="128"/>
      <c r="H12" s="106" t="s">
        <v>880</v>
      </c>
      <c r="I12" s="131">
        <v>1</v>
      </c>
      <c r="J12" s="127">
        <v>1</v>
      </c>
      <c r="K12" s="105"/>
      <c r="L12" s="108"/>
      <c r="M12" s="107"/>
      <c r="N12" s="117">
        <v>1</v>
      </c>
      <c r="O12" s="108"/>
      <c r="P12" s="117">
        <v>1</v>
      </c>
      <c r="Q12" s="117">
        <v>1</v>
      </c>
      <c r="R12" s="125"/>
      <c r="S12" s="117"/>
      <c r="T12" s="117">
        <v>1</v>
      </c>
      <c r="U12" s="125">
        <f t="shared" si="2"/>
        <v>0</v>
      </c>
      <c r="V12" s="117">
        <v>0</v>
      </c>
      <c r="W12" s="117">
        <f t="shared" si="3"/>
        <v>0</v>
      </c>
      <c r="X12" s="117">
        <v>1</v>
      </c>
      <c r="Y12" s="117">
        <f t="shared" si="4"/>
        <v>0</v>
      </c>
      <c r="Z12" s="117"/>
      <c r="AA12" s="117"/>
      <c r="AB12" s="117"/>
      <c r="AC12" s="117"/>
      <c r="AD12" s="117">
        <f t="shared" si="5"/>
        <v>0</v>
      </c>
      <c r="AE12" s="117"/>
      <c r="AF12" s="117">
        <f t="shared" si="6"/>
        <v>0</v>
      </c>
      <c r="AG12" s="117"/>
      <c r="AH12" s="117"/>
      <c r="AI12" s="117">
        <f t="shared" si="7"/>
        <v>0</v>
      </c>
      <c r="AJ12" s="117"/>
      <c r="AK12" s="117">
        <f t="shared" si="8"/>
        <v>0</v>
      </c>
      <c r="AL12" s="119">
        <f t="shared" si="9"/>
        <v>0</v>
      </c>
      <c r="AM12" s="117">
        <f t="shared" si="10"/>
        <v>0</v>
      </c>
      <c r="AN12" s="117">
        <v>260000</v>
      </c>
      <c r="AO12" s="117">
        <f t="shared" si="11"/>
        <v>260000</v>
      </c>
      <c r="AP12" s="117">
        <f t="shared" si="12"/>
        <v>428714</v>
      </c>
      <c r="AQ12" s="14">
        <v>1</v>
      </c>
    </row>
    <row r="13" ht="29.25" customHeight="1" spans="1:43">
      <c r="A13" s="102">
        <v>8</v>
      </c>
      <c r="B13" s="103" t="s">
        <v>530</v>
      </c>
      <c r="C13" s="104" t="s">
        <v>531</v>
      </c>
      <c r="D13" s="103" t="s">
        <v>55</v>
      </c>
      <c r="E13" s="105">
        <v>2.2102</v>
      </c>
      <c r="F13" s="127">
        <v>1.5</v>
      </c>
      <c r="G13" s="128"/>
      <c r="H13" s="106" t="s">
        <v>880</v>
      </c>
      <c r="I13" s="131">
        <v>1</v>
      </c>
      <c r="J13" s="127">
        <v>1</v>
      </c>
      <c r="K13" s="105"/>
      <c r="L13" s="108"/>
      <c r="M13" s="107"/>
      <c r="N13" s="117">
        <v>1</v>
      </c>
      <c r="O13" s="108"/>
      <c r="P13" s="117">
        <v>1</v>
      </c>
      <c r="Q13" s="117">
        <v>1</v>
      </c>
      <c r="R13" s="125"/>
      <c r="S13" s="117"/>
      <c r="T13" s="117">
        <v>1</v>
      </c>
      <c r="U13" s="125">
        <f t="shared" si="2"/>
        <v>0</v>
      </c>
      <c r="V13" s="117">
        <v>0</v>
      </c>
      <c r="W13" s="117">
        <f t="shared" si="3"/>
        <v>0</v>
      </c>
      <c r="X13" s="117">
        <v>1</v>
      </c>
      <c r="Y13" s="117">
        <f t="shared" si="4"/>
        <v>0</v>
      </c>
      <c r="Z13" s="117"/>
      <c r="AA13" s="117"/>
      <c r="AB13" s="117"/>
      <c r="AC13" s="117"/>
      <c r="AD13" s="117">
        <f t="shared" si="5"/>
        <v>0</v>
      </c>
      <c r="AE13" s="117"/>
      <c r="AF13" s="117">
        <f t="shared" si="6"/>
        <v>0</v>
      </c>
      <c r="AG13" s="117"/>
      <c r="AH13" s="117"/>
      <c r="AI13" s="117">
        <f t="shared" si="7"/>
        <v>0</v>
      </c>
      <c r="AJ13" s="117"/>
      <c r="AK13" s="117">
        <f t="shared" si="8"/>
        <v>0</v>
      </c>
      <c r="AL13" s="119">
        <f t="shared" si="9"/>
        <v>0</v>
      </c>
      <c r="AM13" s="117">
        <f t="shared" si="10"/>
        <v>0</v>
      </c>
      <c r="AN13" s="117">
        <v>227000</v>
      </c>
      <c r="AO13" s="117">
        <f t="shared" si="11"/>
        <v>227000</v>
      </c>
      <c r="AP13" s="117">
        <f t="shared" si="12"/>
        <v>501715</v>
      </c>
      <c r="AQ13" s="14">
        <v>1</v>
      </c>
    </row>
    <row r="14" ht="29.25" customHeight="1" spans="1:43">
      <c r="A14" s="102">
        <v>9</v>
      </c>
      <c r="B14" s="103" t="s">
        <v>533</v>
      </c>
      <c r="C14" s="104" t="s">
        <v>534</v>
      </c>
      <c r="D14" s="103" t="s">
        <v>526</v>
      </c>
      <c r="E14" s="105">
        <v>0.2261</v>
      </c>
      <c r="F14" s="127"/>
      <c r="G14" s="128"/>
      <c r="H14" s="106" t="s">
        <v>880</v>
      </c>
      <c r="I14" s="131"/>
      <c r="J14" s="127">
        <v>1</v>
      </c>
      <c r="K14" s="105"/>
      <c r="L14" s="108"/>
      <c r="M14" s="107"/>
      <c r="N14" s="117">
        <v>1</v>
      </c>
      <c r="O14" s="108"/>
      <c r="P14" s="117">
        <v>1</v>
      </c>
      <c r="Q14" s="117">
        <v>1</v>
      </c>
      <c r="R14" s="125"/>
      <c r="S14" s="117"/>
      <c r="T14" s="117">
        <v>1</v>
      </c>
      <c r="U14" s="125">
        <f t="shared" si="2"/>
        <v>0</v>
      </c>
      <c r="V14" s="117">
        <v>0</v>
      </c>
      <c r="W14" s="117">
        <f t="shared" si="3"/>
        <v>0</v>
      </c>
      <c r="X14" s="117">
        <v>1</v>
      </c>
      <c r="Y14" s="117">
        <f t="shared" si="4"/>
        <v>0</v>
      </c>
      <c r="Z14" s="117"/>
      <c r="AA14" s="117"/>
      <c r="AB14" s="117"/>
      <c r="AC14" s="117"/>
      <c r="AD14" s="117">
        <f t="shared" si="5"/>
        <v>0</v>
      </c>
      <c r="AE14" s="117"/>
      <c r="AF14" s="117">
        <f t="shared" si="6"/>
        <v>0</v>
      </c>
      <c r="AG14" s="117"/>
      <c r="AH14" s="117"/>
      <c r="AI14" s="117">
        <f t="shared" si="7"/>
        <v>0</v>
      </c>
      <c r="AJ14" s="117"/>
      <c r="AK14" s="117">
        <f t="shared" si="8"/>
        <v>0</v>
      </c>
      <c r="AL14" s="119">
        <f t="shared" si="9"/>
        <v>0</v>
      </c>
      <c r="AM14" s="117">
        <f t="shared" si="10"/>
        <v>0</v>
      </c>
      <c r="AN14" s="117">
        <v>15000</v>
      </c>
      <c r="AO14" s="117">
        <f t="shared" si="11"/>
        <v>15000</v>
      </c>
      <c r="AP14" s="117">
        <f t="shared" si="12"/>
        <v>3392</v>
      </c>
      <c r="AQ14" s="14">
        <v>1</v>
      </c>
    </row>
    <row r="15" ht="29.25" customHeight="1" spans="1:43">
      <c r="A15" s="102">
        <v>10</v>
      </c>
      <c r="B15" s="103" t="s">
        <v>536</v>
      </c>
      <c r="C15" s="104" t="s">
        <v>537</v>
      </c>
      <c r="D15" s="103" t="s">
        <v>518</v>
      </c>
      <c r="E15" s="105">
        <v>13.7285</v>
      </c>
      <c r="F15" s="127">
        <v>0.00100000004749745</v>
      </c>
      <c r="G15" s="128"/>
      <c r="H15" s="106" t="s">
        <v>880</v>
      </c>
      <c r="I15" s="131">
        <v>2</v>
      </c>
      <c r="J15" s="127">
        <v>1</v>
      </c>
      <c r="K15" s="105"/>
      <c r="L15" s="108"/>
      <c r="M15" s="107"/>
      <c r="N15" s="117">
        <v>1</v>
      </c>
      <c r="O15" s="108"/>
      <c r="P15" s="117">
        <v>1</v>
      </c>
      <c r="Q15" s="117">
        <v>1</v>
      </c>
      <c r="R15" s="125"/>
      <c r="S15" s="117"/>
      <c r="T15" s="117">
        <v>1</v>
      </c>
      <c r="U15" s="125">
        <f t="shared" si="2"/>
        <v>0</v>
      </c>
      <c r="V15" s="117">
        <v>0</v>
      </c>
      <c r="W15" s="117">
        <f t="shared" si="3"/>
        <v>0</v>
      </c>
      <c r="X15" s="117">
        <v>1</v>
      </c>
      <c r="Y15" s="117">
        <f t="shared" si="4"/>
        <v>0</v>
      </c>
      <c r="Z15" s="117"/>
      <c r="AA15" s="117"/>
      <c r="AB15" s="117"/>
      <c r="AC15" s="117"/>
      <c r="AD15" s="117">
        <f t="shared" si="5"/>
        <v>0</v>
      </c>
      <c r="AE15" s="117"/>
      <c r="AF15" s="117">
        <f t="shared" si="6"/>
        <v>0</v>
      </c>
      <c r="AG15" s="117"/>
      <c r="AH15" s="117"/>
      <c r="AI15" s="117">
        <f t="shared" si="7"/>
        <v>0</v>
      </c>
      <c r="AJ15" s="117"/>
      <c r="AK15" s="117">
        <f t="shared" si="8"/>
        <v>0</v>
      </c>
      <c r="AL15" s="119">
        <f t="shared" si="9"/>
        <v>0</v>
      </c>
      <c r="AM15" s="117">
        <f t="shared" si="10"/>
        <v>0</v>
      </c>
      <c r="AN15" s="117">
        <v>20000</v>
      </c>
      <c r="AO15" s="117">
        <f t="shared" si="11"/>
        <v>20000</v>
      </c>
      <c r="AP15" s="117">
        <f t="shared" si="12"/>
        <v>274570</v>
      </c>
      <c r="AQ15" s="14">
        <v>1</v>
      </c>
    </row>
    <row r="16" ht="29.25" customHeight="1" spans="1:43">
      <c r="A16" s="102">
        <v>11</v>
      </c>
      <c r="B16" s="103" t="s">
        <v>539</v>
      </c>
      <c r="C16" s="104" t="s">
        <v>540</v>
      </c>
      <c r="D16" s="103" t="s">
        <v>450</v>
      </c>
      <c r="E16" s="105">
        <v>14.125</v>
      </c>
      <c r="F16" s="127"/>
      <c r="G16" s="128"/>
      <c r="H16" s="106" t="s">
        <v>880</v>
      </c>
      <c r="I16" s="131">
        <v>2</v>
      </c>
      <c r="J16" s="127">
        <v>1</v>
      </c>
      <c r="K16" s="105"/>
      <c r="L16" s="108"/>
      <c r="M16" s="107"/>
      <c r="N16" s="117">
        <v>1</v>
      </c>
      <c r="O16" s="108"/>
      <c r="P16" s="117">
        <v>1</v>
      </c>
      <c r="Q16" s="117">
        <v>1</v>
      </c>
      <c r="R16" s="125"/>
      <c r="S16" s="117"/>
      <c r="T16" s="117">
        <v>1</v>
      </c>
      <c r="U16" s="125">
        <f t="shared" si="2"/>
        <v>0</v>
      </c>
      <c r="V16" s="117">
        <v>0</v>
      </c>
      <c r="W16" s="117">
        <f t="shared" si="3"/>
        <v>0</v>
      </c>
      <c r="X16" s="117">
        <v>1</v>
      </c>
      <c r="Y16" s="117">
        <f t="shared" si="4"/>
        <v>0</v>
      </c>
      <c r="Z16" s="117"/>
      <c r="AA16" s="117"/>
      <c r="AB16" s="117"/>
      <c r="AC16" s="117"/>
      <c r="AD16" s="117">
        <f t="shared" si="5"/>
        <v>0</v>
      </c>
      <c r="AE16" s="117"/>
      <c r="AF16" s="117">
        <f t="shared" si="6"/>
        <v>0</v>
      </c>
      <c r="AG16" s="117"/>
      <c r="AH16" s="117"/>
      <c r="AI16" s="117">
        <f t="shared" si="7"/>
        <v>0</v>
      </c>
      <c r="AJ16" s="117"/>
      <c r="AK16" s="117">
        <f t="shared" si="8"/>
        <v>0</v>
      </c>
      <c r="AL16" s="119">
        <f t="shared" si="9"/>
        <v>0</v>
      </c>
      <c r="AM16" s="117">
        <f t="shared" si="10"/>
        <v>0</v>
      </c>
      <c r="AN16" s="117">
        <v>3000</v>
      </c>
      <c r="AO16" s="117">
        <f t="shared" si="11"/>
        <v>3000</v>
      </c>
      <c r="AP16" s="117">
        <f t="shared" si="12"/>
        <v>42375</v>
      </c>
      <c r="AQ16" s="14">
        <v>1</v>
      </c>
    </row>
    <row r="17" ht="29.25" customHeight="1" spans="1:43">
      <c r="A17" s="102">
        <v>12</v>
      </c>
      <c r="B17" s="103" t="s">
        <v>542</v>
      </c>
      <c r="C17" s="104" t="s">
        <v>543</v>
      </c>
      <c r="D17" s="103" t="s">
        <v>526</v>
      </c>
      <c r="E17" s="105">
        <v>2370.6078</v>
      </c>
      <c r="F17" s="127">
        <v>0.00230000005103648</v>
      </c>
      <c r="G17" s="128"/>
      <c r="H17" s="106" t="s">
        <v>880</v>
      </c>
      <c r="I17" s="131">
        <v>1</v>
      </c>
      <c r="J17" s="127">
        <v>1</v>
      </c>
      <c r="K17" s="105"/>
      <c r="L17" s="108"/>
      <c r="M17" s="107"/>
      <c r="N17" s="117">
        <v>1</v>
      </c>
      <c r="O17" s="108"/>
      <c r="P17" s="117">
        <v>1</v>
      </c>
      <c r="Q17" s="117">
        <v>1</v>
      </c>
      <c r="R17" s="125"/>
      <c r="S17" s="117"/>
      <c r="T17" s="117">
        <v>1</v>
      </c>
      <c r="U17" s="125">
        <f t="shared" si="2"/>
        <v>0</v>
      </c>
      <c r="V17" s="117">
        <v>0</v>
      </c>
      <c r="W17" s="117">
        <f t="shared" si="3"/>
        <v>0</v>
      </c>
      <c r="X17" s="117">
        <v>1</v>
      </c>
      <c r="Y17" s="117">
        <f t="shared" si="4"/>
        <v>0</v>
      </c>
      <c r="Z17" s="117"/>
      <c r="AA17" s="117"/>
      <c r="AB17" s="117"/>
      <c r="AC17" s="117"/>
      <c r="AD17" s="117">
        <f t="shared" si="5"/>
        <v>0</v>
      </c>
      <c r="AE17" s="117"/>
      <c r="AF17" s="117">
        <f t="shared" si="6"/>
        <v>0</v>
      </c>
      <c r="AG17" s="117"/>
      <c r="AH17" s="117"/>
      <c r="AI17" s="117">
        <f t="shared" si="7"/>
        <v>0</v>
      </c>
      <c r="AJ17" s="117"/>
      <c r="AK17" s="117">
        <f t="shared" si="8"/>
        <v>0</v>
      </c>
      <c r="AL17" s="119">
        <f t="shared" si="9"/>
        <v>0</v>
      </c>
      <c r="AM17" s="117">
        <f t="shared" si="10"/>
        <v>0</v>
      </c>
      <c r="AN17" s="117">
        <v>1314</v>
      </c>
      <c r="AO17" s="117">
        <f t="shared" si="11"/>
        <v>1314</v>
      </c>
      <c r="AP17" s="117">
        <f t="shared" si="12"/>
        <v>3114979</v>
      </c>
      <c r="AQ17" s="14">
        <v>1</v>
      </c>
    </row>
    <row r="18" ht="29.25" customHeight="1" spans="1:43">
      <c r="A18" s="102">
        <v>13</v>
      </c>
      <c r="B18" s="103" t="s">
        <v>546</v>
      </c>
      <c r="C18" s="104" t="s">
        <v>547</v>
      </c>
      <c r="D18" s="103" t="s">
        <v>55</v>
      </c>
      <c r="E18" s="105">
        <v>0.3471</v>
      </c>
      <c r="F18" s="127">
        <v>1</v>
      </c>
      <c r="G18" s="128"/>
      <c r="H18" s="106" t="s">
        <v>880</v>
      </c>
      <c r="I18" s="131"/>
      <c r="J18" s="127">
        <v>1</v>
      </c>
      <c r="K18" s="105"/>
      <c r="L18" s="108"/>
      <c r="M18" s="107"/>
      <c r="N18" s="117">
        <v>1</v>
      </c>
      <c r="O18" s="108"/>
      <c r="P18" s="117">
        <v>1</v>
      </c>
      <c r="Q18" s="117">
        <v>1</v>
      </c>
      <c r="R18" s="125"/>
      <c r="S18" s="117"/>
      <c r="T18" s="117">
        <v>1</v>
      </c>
      <c r="U18" s="125">
        <f t="shared" si="2"/>
        <v>0</v>
      </c>
      <c r="V18" s="117">
        <v>0</v>
      </c>
      <c r="W18" s="117">
        <f t="shared" si="3"/>
        <v>0</v>
      </c>
      <c r="X18" s="117">
        <v>1</v>
      </c>
      <c r="Y18" s="117">
        <f t="shared" si="4"/>
        <v>0</v>
      </c>
      <c r="Z18" s="117"/>
      <c r="AA18" s="117"/>
      <c r="AB18" s="117"/>
      <c r="AC18" s="117"/>
      <c r="AD18" s="117">
        <f t="shared" si="5"/>
        <v>0</v>
      </c>
      <c r="AE18" s="117"/>
      <c r="AF18" s="117">
        <f t="shared" si="6"/>
        <v>0</v>
      </c>
      <c r="AG18" s="117"/>
      <c r="AH18" s="117"/>
      <c r="AI18" s="117">
        <f t="shared" si="7"/>
        <v>0</v>
      </c>
      <c r="AJ18" s="117"/>
      <c r="AK18" s="117">
        <f t="shared" si="8"/>
        <v>0</v>
      </c>
      <c r="AL18" s="119">
        <f t="shared" si="9"/>
        <v>0</v>
      </c>
      <c r="AM18" s="117">
        <f t="shared" si="10"/>
        <v>0</v>
      </c>
      <c r="AN18" s="117">
        <v>2000000</v>
      </c>
      <c r="AO18" s="117">
        <f t="shared" si="11"/>
        <v>2000000</v>
      </c>
      <c r="AP18" s="117">
        <f t="shared" si="12"/>
        <v>694200</v>
      </c>
      <c r="AQ18" s="14">
        <v>1</v>
      </c>
    </row>
    <row r="19" ht="29.25" customHeight="1" spans="1:43">
      <c r="A19" s="102">
        <v>14</v>
      </c>
      <c r="B19" s="103" t="s">
        <v>549</v>
      </c>
      <c r="C19" s="104" t="s">
        <v>550</v>
      </c>
      <c r="D19" s="103" t="s">
        <v>55</v>
      </c>
      <c r="E19" s="105">
        <v>0.0653</v>
      </c>
      <c r="F19" s="127">
        <v>1</v>
      </c>
      <c r="G19" s="128"/>
      <c r="H19" s="106" t="s">
        <v>880</v>
      </c>
      <c r="I19" s="131">
        <v>2</v>
      </c>
      <c r="J19" s="127">
        <v>1</v>
      </c>
      <c r="K19" s="105"/>
      <c r="L19" s="108"/>
      <c r="M19" s="107"/>
      <c r="N19" s="117">
        <v>1</v>
      </c>
      <c r="O19" s="108"/>
      <c r="P19" s="117">
        <v>1</v>
      </c>
      <c r="Q19" s="117">
        <v>1</v>
      </c>
      <c r="R19" s="125"/>
      <c r="S19" s="117"/>
      <c r="T19" s="117">
        <v>1</v>
      </c>
      <c r="U19" s="125">
        <f t="shared" si="2"/>
        <v>0</v>
      </c>
      <c r="V19" s="117">
        <v>0</v>
      </c>
      <c r="W19" s="117">
        <f t="shared" si="3"/>
        <v>0</v>
      </c>
      <c r="X19" s="117">
        <v>1</v>
      </c>
      <c r="Y19" s="117">
        <f t="shared" si="4"/>
        <v>0</v>
      </c>
      <c r="Z19" s="117"/>
      <c r="AA19" s="117"/>
      <c r="AB19" s="117"/>
      <c r="AC19" s="117"/>
      <c r="AD19" s="117">
        <f t="shared" si="5"/>
        <v>0</v>
      </c>
      <c r="AE19" s="117"/>
      <c r="AF19" s="117">
        <f t="shared" si="6"/>
        <v>0</v>
      </c>
      <c r="AG19" s="117"/>
      <c r="AH19" s="117"/>
      <c r="AI19" s="117">
        <f t="shared" si="7"/>
        <v>0</v>
      </c>
      <c r="AJ19" s="117"/>
      <c r="AK19" s="117">
        <f t="shared" si="8"/>
        <v>0</v>
      </c>
      <c r="AL19" s="119">
        <f t="shared" si="9"/>
        <v>0</v>
      </c>
      <c r="AM19" s="117">
        <f t="shared" si="10"/>
        <v>0</v>
      </c>
      <c r="AN19" s="117">
        <v>2000000</v>
      </c>
      <c r="AO19" s="117">
        <f t="shared" si="11"/>
        <v>2000000</v>
      </c>
      <c r="AP19" s="117">
        <f t="shared" si="12"/>
        <v>130600</v>
      </c>
      <c r="AQ19" s="14">
        <v>1</v>
      </c>
    </row>
    <row r="20" ht="29.25" customHeight="1" spans="1:43">
      <c r="A20" s="102">
        <v>15</v>
      </c>
      <c r="B20" s="103" t="s">
        <v>552</v>
      </c>
      <c r="C20" s="104" t="s">
        <v>553</v>
      </c>
      <c r="D20" s="103" t="s">
        <v>55</v>
      </c>
      <c r="E20" s="105">
        <v>0.3457</v>
      </c>
      <c r="F20" s="127">
        <v>1</v>
      </c>
      <c r="G20" s="128"/>
      <c r="H20" s="106" t="s">
        <v>880</v>
      </c>
      <c r="I20" s="131">
        <v>2</v>
      </c>
      <c r="J20" s="127">
        <v>1</v>
      </c>
      <c r="K20" s="105"/>
      <c r="L20" s="108"/>
      <c r="M20" s="107"/>
      <c r="N20" s="117">
        <v>1</v>
      </c>
      <c r="O20" s="108"/>
      <c r="P20" s="117">
        <v>1</v>
      </c>
      <c r="Q20" s="117">
        <v>1</v>
      </c>
      <c r="R20" s="125"/>
      <c r="S20" s="117"/>
      <c r="T20" s="117">
        <v>1</v>
      </c>
      <c r="U20" s="125">
        <f t="shared" si="2"/>
        <v>0</v>
      </c>
      <c r="V20" s="117">
        <v>0</v>
      </c>
      <c r="W20" s="117">
        <f t="shared" si="3"/>
        <v>0</v>
      </c>
      <c r="X20" s="117">
        <v>1</v>
      </c>
      <c r="Y20" s="117">
        <f t="shared" si="4"/>
        <v>0</v>
      </c>
      <c r="Z20" s="117"/>
      <c r="AA20" s="117"/>
      <c r="AB20" s="117"/>
      <c r="AC20" s="117"/>
      <c r="AD20" s="117">
        <f t="shared" si="5"/>
        <v>0</v>
      </c>
      <c r="AE20" s="117"/>
      <c r="AF20" s="117">
        <f t="shared" si="6"/>
        <v>0</v>
      </c>
      <c r="AG20" s="117"/>
      <c r="AH20" s="117"/>
      <c r="AI20" s="117">
        <f t="shared" si="7"/>
        <v>0</v>
      </c>
      <c r="AJ20" s="117"/>
      <c r="AK20" s="117">
        <f t="shared" si="8"/>
        <v>0</v>
      </c>
      <c r="AL20" s="119">
        <f t="shared" si="9"/>
        <v>0</v>
      </c>
      <c r="AM20" s="117">
        <f t="shared" si="10"/>
        <v>0</v>
      </c>
      <c r="AN20" s="117">
        <v>2000000</v>
      </c>
      <c r="AO20" s="117">
        <f t="shared" si="11"/>
        <v>2000000</v>
      </c>
      <c r="AP20" s="117">
        <f t="shared" si="12"/>
        <v>691400</v>
      </c>
      <c r="AQ20" s="14">
        <v>1</v>
      </c>
    </row>
    <row r="21" ht="29.25" customHeight="1" spans="1:43">
      <c r="A21" s="102">
        <v>16</v>
      </c>
      <c r="B21" s="103" t="s">
        <v>554</v>
      </c>
      <c r="C21" s="104" t="s">
        <v>555</v>
      </c>
      <c r="D21" s="103" t="s">
        <v>55</v>
      </c>
      <c r="E21" s="105">
        <v>0.8753</v>
      </c>
      <c r="F21" s="127">
        <v>1</v>
      </c>
      <c r="G21" s="128"/>
      <c r="H21" s="106" t="s">
        <v>880</v>
      </c>
      <c r="I21" s="131">
        <v>2</v>
      </c>
      <c r="J21" s="127">
        <v>1</v>
      </c>
      <c r="K21" s="105"/>
      <c r="L21" s="108"/>
      <c r="M21" s="107"/>
      <c r="N21" s="117">
        <v>1</v>
      </c>
      <c r="O21" s="108"/>
      <c r="P21" s="117">
        <v>1</v>
      </c>
      <c r="Q21" s="117">
        <v>1</v>
      </c>
      <c r="R21" s="125"/>
      <c r="S21" s="117"/>
      <c r="T21" s="117">
        <v>1</v>
      </c>
      <c r="U21" s="125">
        <f t="shared" si="2"/>
        <v>0</v>
      </c>
      <c r="V21" s="117">
        <v>0</v>
      </c>
      <c r="W21" s="117">
        <f t="shared" si="3"/>
        <v>0</v>
      </c>
      <c r="X21" s="117">
        <v>1</v>
      </c>
      <c r="Y21" s="117">
        <f t="shared" si="4"/>
        <v>0</v>
      </c>
      <c r="Z21" s="117"/>
      <c r="AA21" s="117"/>
      <c r="AB21" s="117"/>
      <c r="AC21" s="117"/>
      <c r="AD21" s="117">
        <f t="shared" si="5"/>
        <v>0</v>
      </c>
      <c r="AE21" s="117"/>
      <c r="AF21" s="117">
        <f t="shared" si="6"/>
        <v>0</v>
      </c>
      <c r="AG21" s="117"/>
      <c r="AH21" s="117"/>
      <c r="AI21" s="117">
        <f t="shared" si="7"/>
        <v>0</v>
      </c>
      <c r="AJ21" s="117"/>
      <c r="AK21" s="117">
        <f t="shared" si="8"/>
        <v>0</v>
      </c>
      <c r="AL21" s="119">
        <f t="shared" si="9"/>
        <v>0</v>
      </c>
      <c r="AM21" s="117">
        <f t="shared" si="10"/>
        <v>0</v>
      </c>
      <c r="AN21" s="117">
        <v>2000000</v>
      </c>
      <c r="AO21" s="117">
        <f t="shared" si="11"/>
        <v>2000000</v>
      </c>
      <c r="AP21" s="117">
        <f t="shared" si="12"/>
        <v>1750600</v>
      </c>
      <c r="AQ21" s="14">
        <v>1</v>
      </c>
    </row>
    <row r="22" ht="29.25" customHeight="1" spans="1:43">
      <c r="A22" s="102">
        <v>17</v>
      </c>
      <c r="B22" s="103" t="s">
        <v>557</v>
      </c>
      <c r="C22" s="104" t="s">
        <v>558</v>
      </c>
      <c r="D22" s="103" t="s">
        <v>55</v>
      </c>
      <c r="E22" s="105">
        <v>0.0145</v>
      </c>
      <c r="F22" s="127">
        <v>1</v>
      </c>
      <c r="G22" s="128"/>
      <c r="H22" s="106" t="s">
        <v>880</v>
      </c>
      <c r="I22" s="131">
        <v>2</v>
      </c>
      <c r="J22" s="127">
        <v>1</v>
      </c>
      <c r="K22" s="105"/>
      <c r="L22" s="108"/>
      <c r="M22" s="107"/>
      <c r="N22" s="117">
        <v>1</v>
      </c>
      <c r="O22" s="108"/>
      <c r="P22" s="117">
        <v>1</v>
      </c>
      <c r="Q22" s="117">
        <v>1</v>
      </c>
      <c r="R22" s="125"/>
      <c r="S22" s="117"/>
      <c r="T22" s="117">
        <v>1</v>
      </c>
      <c r="U22" s="125">
        <f t="shared" si="2"/>
        <v>0</v>
      </c>
      <c r="V22" s="117">
        <v>0</v>
      </c>
      <c r="W22" s="117">
        <f t="shared" si="3"/>
        <v>0</v>
      </c>
      <c r="X22" s="117">
        <v>1</v>
      </c>
      <c r="Y22" s="117">
        <f t="shared" si="4"/>
        <v>0</v>
      </c>
      <c r="Z22" s="117"/>
      <c r="AA22" s="117"/>
      <c r="AB22" s="117"/>
      <c r="AC22" s="117"/>
      <c r="AD22" s="117">
        <f t="shared" si="5"/>
        <v>0</v>
      </c>
      <c r="AE22" s="117"/>
      <c r="AF22" s="117">
        <f t="shared" si="6"/>
        <v>0</v>
      </c>
      <c r="AG22" s="117"/>
      <c r="AH22" s="117"/>
      <c r="AI22" s="117">
        <f t="shared" si="7"/>
        <v>0</v>
      </c>
      <c r="AJ22" s="117"/>
      <c r="AK22" s="117">
        <f t="shared" si="8"/>
        <v>0</v>
      </c>
      <c r="AL22" s="119">
        <f t="shared" si="9"/>
        <v>0</v>
      </c>
      <c r="AM22" s="117">
        <f t="shared" si="10"/>
        <v>0</v>
      </c>
      <c r="AN22" s="117">
        <v>2000000</v>
      </c>
      <c r="AO22" s="117">
        <f t="shared" si="11"/>
        <v>2000000</v>
      </c>
      <c r="AP22" s="117">
        <f t="shared" si="12"/>
        <v>29000</v>
      </c>
      <c r="AQ22" s="14">
        <v>1</v>
      </c>
    </row>
    <row r="23" ht="29.25" customHeight="1" spans="1:43">
      <c r="A23" s="102">
        <v>18</v>
      </c>
      <c r="B23" s="103" t="s">
        <v>560</v>
      </c>
      <c r="C23" s="104" t="s">
        <v>561</v>
      </c>
      <c r="D23" s="103" t="s">
        <v>55</v>
      </c>
      <c r="E23" s="105">
        <v>0.2211</v>
      </c>
      <c r="F23" s="127">
        <v>1</v>
      </c>
      <c r="G23" s="128"/>
      <c r="H23" s="106" t="s">
        <v>880</v>
      </c>
      <c r="I23" s="131">
        <v>2</v>
      </c>
      <c r="J23" s="127">
        <v>1</v>
      </c>
      <c r="K23" s="105"/>
      <c r="L23" s="108"/>
      <c r="M23" s="107"/>
      <c r="N23" s="117">
        <v>1</v>
      </c>
      <c r="O23" s="108"/>
      <c r="P23" s="117">
        <v>1</v>
      </c>
      <c r="Q23" s="117">
        <v>1</v>
      </c>
      <c r="R23" s="125"/>
      <c r="S23" s="117"/>
      <c r="T23" s="117">
        <v>1</v>
      </c>
      <c r="U23" s="125">
        <f t="shared" si="2"/>
        <v>0</v>
      </c>
      <c r="V23" s="117">
        <v>0</v>
      </c>
      <c r="W23" s="117">
        <f t="shared" si="3"/>
        <v>0</v>
      </c>
      <c r="X23" s="117">
        <v>1</v>
      </c>
      <c r="Y23" s="117">
        <f t="shared" si="4"/>
        <v>0</v>
      </c>
      <c r="Z23" s="117"/>
      <c r="AA23" s="117"/>
      <c r="AB23" s="117"/>
      <c r="AC23" s="117"/>
      <c r="AD23" s="117">
        <f t="shared" si="5"/>
        <v>0</v>
      </c>
      <c r="AE23" s="117"/>
      <c r="AF23" s="117">
        <f t="shared" si="6"/>
        <v>0</v>
      </c>
      <c r="AG23" s="117"/>
      <c r="AH23" s="117"/>
      <c r="AI23" s="117">
        <f t="shared" si="7"/>
        <v>0</v>
      </c>
      <c r="AJ23" s="117"/>
      <c r="AK23" s="117">
        <f t="shared" si="8"/>
        <v>0</v>
      </c>
      <c r="AL23" s="119">
        <f t="shared" si="9"/>
        <v>0</v>
      </c>
      <c r="AM23" s="117">
        <f t="shared" si="10"/>
        <v>0</v>
      </c>
      <c r="AN23" s="117">
        <v>2000000</v>
      </c>
      <c r="AO23" s="117">
        <f t="shared" si="11"/>
        <v>2000000</v>
      </c>
      <c r="AP23" s="117">
        <f t="shared" si="12"/>
        <v>442200</v>
      </c>
      <c r="AQ23" s="14">
        <v>1</v>
      </c>
    </row>
    <row r="24" ht="29.25" customHeight="1" spans="1:43">
      <c r="A24" s="102">
        <v>19</v>
      </c>
      <c r="B24" s="103" t="s">
        <v>562</v>
      </c>
      <c r="C24" s="104" t="s">
        <v>563</v>
      </c>
      <c r="D24" s="103" t="s">
        <v>518</v>
      </c>
      <c r="E24" s="105">
        <v>74.8291</v>
      </c>
      <c r="F24" s="127">
        <v>0.00100000004749745</v>
      </c>
      <c r="G24" s="128"/>
      <c r="H24" s="106" t="s">
        <v>880</v>
      </c>
      <c r="I24" s="131"/>
      <c r="J24" s="127">
        <v>1</v>
      </c>
      <c r="K24" s="105"/>
      <c r="L24" s="108"/>
      <c r="M24" s="107"/>
      <c r="N24" s="117">
        <v>1</v>
      </c>
      <c r="O24" s="108"/>
      <c r="P24" s="117">
        <v>1</v>
      </c>
      <c r="Q24" s="117">
        <v>1</v>
      </c>
      <c r="R24" s="125"/>
      <c r="S24" s="117"/>
      <c r="T24" s="117">
        <v>1</v>
      </c>
      <c r="U24" s="125">
        <f t="shared" si="2"/>
        <v>0</v>
      </c>
      <c r="V24" s="117">
        <v>0</v>
      </c>
      <c r="W24" s="117">
        <f t="shared" si="3"/>
        <v>0</v>
      </c>
      <c r="X24" s="117">
        <v>1</v>
      </c>
      <c r="Y24" s="117">
        <f t="shared" si="4"/>
        <v>0</v>
      </c>
      <c r="Z24" s="117"/>
      <c r="AA24" s="117"/>
      <c r="AB24" s="117"/>
      <c r="AC24" s="117"/>
      <c r="AD24" s="117">
        <f t="shared" si="5"/>
        <v>0</v>
      </c>
      <c r="AE24" s="117"/>
      <c r="AF24" s="117">
        <f t="shared" si="6"/>
        <v>0</v>
      </c>
      <c r="AG24" s="117"/>
      <c r="AH24" s="117"/>
      <c r="AI24" s="117">
        <f t="shared" si="7"/>
        <v>0</v>
      </c>
      <c r="AJ24" s="117"/>
      <c r="AK24" s="117">
        <f t="shared" si="8"/>
        <v>0</v>
      </c>
      <c r="AL24" s="119">
        <f t="shared" si="9"/>
        <v>0</v>
      </c>
      <c r="AM24" s="117">
        <f t="shared" si="10"/>
        <v>0</v>
      </c>
      <c r="AN24" s="117">
        <v>69000</v>
      </c>
      <c r="AO24" s="117">
        <f t="shared" si="11"/>
        <v>69000</v>
      </c>
      <c r="AP24" s="117">
        <f t="shared" si="12"/>
        <v>5163208</v>
      </c>
      <c r="AQ24" s="14">
        <v>1</v>
      </c>
    </row>
    <row r="25" ht="29.25" customHeight="1" spans="1:43">
      <c r="A25" s="102">
        <v>20</v>
      </c>
      <c r="B25" s="103" t="s">
        <v>565</v>
      </c>
      <c r="C25" s="104" t="s">
        <v>566</v>
      </c>
      <c r="D25" s="103" t="s">
        <v>567</v>
      </c>
      <c r="E25" s="105">
        <v>1105.3973</v>
      </c>
      <c r="F25" s="127"/>
      <c r="G25" s="128"/>
      <c r="H25" s="106" t="s">
        <v>880</v>
      </c>
      <c r="I25" s="131"/>
      <c r="J25" s="127">
        <v>1</v>
      </c>
      <c r="K25" s="105"/>
      <c r="L25" s="108"/>
      <c r="M25" s="107"/>
      <c r="N25" s="117">
        <v>1</v>
      </c>
      <c r="O25" s="108"/>
      <c r="P25" s="117">
        <v>1</v>
      </c>
      <c r="Q25" s="117">
        <v>1</v>
      </c>
      <c r="R25" s="125"/>
      <c r="S25" s="117"/>
      <c r="T25" s="117">
        <v>1</v>
      </c>
      <c r="U25" s="125">
        <f t="shared" si="2"/>
        <v>0</v>
      </c>
      <c r="V25" s="117">
        <v>0</v>
      </c>
      <c r="W25" s="117">
        <f t="shared" si="3"/>
        <v>0</v>
      </c>
      <c r="X25" s="117">
        <v>1</v>
      </c>
      <c r="Y25" s="117">
        <f t="shared" si="4"/>
        <v>0</v>
      </c>
      <c r="Z25" s="117"/>
      <c r="AA25" s="117"/>
      <c r="AB25" s="117"/>
      <c r="AC25" s="117"/>
      <c r="AD25" s="117">
        <f t="shared" si="5"/>
        <v>0</v>
      </c>
      <c r="AE25" s="117"/>
      <c r="AF25" s="117">
        <f t="shared" si="6"/>
        <v>0</v>
      </c>
      <c r="AG25" s="117"/>
      <c r="AH25" s="117"/>
      <c r="AI25" s="117">
        <f t="shared" si="7"/>
        <v>0</v>
      </c>
      <c r="AJ25" s="117"/>
      <c r="AK25" s="117">
        <f t="shared" si="8"/>
        <v>0</v>
      </c>
      <c r="AL25" s="119">
        <f t="shared" si="9"/>
        <v>0</v>
      </c>
      <c r="AM25" s="117">
        <f t="shared" si="10"/>
        <v>0</v>
      </c>
      <c r="AN25" s="117">
        <v>8</v>
      </c>
      <c r="AO25" s="117">
        <f t="shared" si="11"/>
        <v>8</v>
      </c>
      <c r="AP25" s="117">
        <f t="shared" si="12"/>
        <v>8843</v>
      </c>
      <c r="AQ25" s="14">
        <v>1</v>
      </c>
    </row>
    <row r="26" ht="29.25" customHeight="1" spans="1:43">
      <c r="A26" s="102">
        <v>21</v>
      </c>
      <c r="B26" s="103" t="s">
        <v>569</v>
      </c>
      <c r="C26" s="104" t="s">
        <v>570</v>
      </c>
      <c r="D26" s="103" t="s">
        <v>518</v>
      </c>
      <c r="E26" s="105">
        <v>20.7192</v>
      </c>
      <c r="F26" s="127">
        <v>0.00100000004749745</v>
      </c>
      <c r="G26" s="128"/>
      <c r="H26" s="106" t="s">
        <v>880</v>
      </c>
      <c r="I26" s="131"/>
      <c r="J26" s="127">
        <v>1</v>
      </c>
      <c r="K26" s="105"/>
      <c r="L26" s="108"/>
      <c r="M26" s="107"/>
      <c r="N26" s="117">
        <v>1</v>
      </c>
      <c r="O26" s="108"/>
      <c r="P26" s="117">
        <v>1</v>
      </c>
      <c r="Q26" s="117">
        <v>1</v>
      </c>
      <c r="R26" s="125"/>
      <c r="S26" s="117"/>
      <c r="T26" s="117">
        <v>1</v>
      </c>
      <c r="U26" s="125">
        <f t="shared" si="2"/>
        <v>0</v>
      </c>
      <c r="V26" s="117">
        <v>0</v>
      </c>
      <c r="W26" s="117">
        <f t="shared" si="3"/>
        <v>0</v>
      </c>
      <c r="X26" s="117">
        <v>1</v>
      </c>
      <c r="Y26" s="117">
        <f t="shared" si="4"/>
        <v>0</v>
      </c>
      <c r="Z26" s="117"/>
      <c r="AA26" s="117"/>
      <c r="AB26" s="117"/>
      <c r="AC26" s="117"/>
      <c r="AD26" s="117">
        <f t="shared" si="5"/>
        <v>0</v>
      </c>
      <c r="AE26" s="117"/>
      <c r="AF26" s="117">
        <f t="shared" si="6"/>
        <v>0</v>
      </c>
      <c r="AG26" s="117"/>
      <c r="AH26" s="117"/>
      <c r="AI26" s="117">
        <f t="shared" si="7"/>
        <v>0</v>
      </c>
      <c r="AJ26" s="117"/>
      <c r="AK26" s="117">
        <f t="shared" si="8"/>
        <v>0</v>
      </c>
      <c r="AL26" s="119">
        <f t="shared" si="9"/>
        <v>0</v>
      </c>
      <c r="AM26" s="117">
        <f t="shared" si="10"/>
        <v>0</v>
      </c>
      <c r="AN26" s="117">
        <v>19800</v>
      </c>
      <c r="AO26" s="117">
        <f t="shared" si="11"/>
        <v>19800</v>
      </c>
      <c r="AP26" s="117">
        <f t="shared" si="12"/>
        <v>410240</v>
      </c>
      <c r="AQ26" s="14">
        <v>1</v>
      </c>
    </row>
    <row r="27" ht="29.25" customHeight="1" spans="1:43">
      <c r="A27" s="102">
        <v>22</v>
      </c>
      <c r="B27" s="103" t="s">
        <v>572</v>
      </c>
      <c r="C27" s="104" t="s">
        <v>573</v>
      </c>
      <c r="D27" s="103" t="s">
        <v>518</v>
      </c>
      <c r="E27" s="105">
        <v>4193.9655</v>
      </c>
      <c r="F27" s="127">
        <v>0.00100000004749745</v>
      </c>
      <c r="G27" s="128"/>
      <c r="H27" s="106" t="s">
        <v>880</v>
      </c>
      <c r="I27" s="131"/>
      <c r="J27" s="127">
        <v>1</v>
      </c>
      <c r="K27" s="105"/>
      <c r="L27" s="108"/>
      <c r="M27" s="107"/>
      <c r="N27" s="117">
        <v>1</v>
      </c>
      <c r="O27" s="108"/>
      <c r="P27" s="117">
        <v>1</v>
      </c>
      <c r="Q27" s="117">
        <v>1</v>
      </c>
      <c r="R27" s="125"/>
      <c r="S27" s="117"/>
      <c r="T27" s="117">
        <v>1</v>
      </c>
      <c r="U27" s="125">
        <f t="shared" si="2"/>
        <v>0</v>
      </c>
      <c r="V27" s="117">
        <v>0</v>
      </c>
      <c r="W27" s="117">
        <f t="shared" si="3"/>
        <v>0</v>
      </c>
      <c r="X27" s="117">
        <v>1</v>
      </c>
      <c r="Y27" s="117">
        <f t="shared" si="4"/>
        <v>0</v>
      </c>
      <c r="Z27" s="117"/>
      <c r="AA27" s="117"/>
      <c r="AB27" s="117"/>
      <c r="AC27" s="117"/>
      <c r="AD27" s="117">
        <f t="shared" si="5"/>
        <v>0</v>
      </c>
      <c r="AE27" s="117"/>
      <c r="AF27" s="117">
        <f t="shared" si="6"/>
        <v>0</v>
      </c>
      <c r="AG27" s="117"/>
      <c r="AH27" s="117"/>
      <c r="AI27" s="117">
        <f t="shared" si="7"/>
        <v>0</v>
      </c>
      <c r="AJ27" s="117"/>
      <c r="AK27" s="117">
        <f t="shared" si="8"/>
        <v>0</v>
      </c>
      <c r="AL27" s="119">
        <f t="shared" si="9"/>
        <v>0</v>
      </c>
      <c r="AM27" s="117">
        <f t="shared" si="10"/>
        <v>0</v>
      </c>
      <c r="AN27" s="117">
        <v>12900</v>
      </c>
      <c r="AO27" s="117">
        <f t="shared" si="11"/>
        <v>12900</v>
      </c>
      <c r="AP27" s="117">
        <f t="shared" si="12"/>
        <v>54102155</v>
      </c>
      <c r="AQ27" s="14">
        <v>1</v>
      </c>
    </row>
    <row r="28" ht="29.25" customHeight="1" spans="1:43">
      <c r="A28" s="102">
        <v>23</v>
      </c>
      <c r="B28" s="103" t="s">
        <v>575</v>
      </c>
      <c r="C28" s="104" t="s">
        <v>576</v>
      </c>
      <c r="D28" s="103" t="s">
        <v>518</v>
      </c>
      <c r="E28" s="105">
        <v>3309.492</v>
      </c>
      <c r="F28" s="127">
        <v>0.00100000004749745</v>
      </c>
      <c r="G28" s="128"/>
      <c r="H28" s="106" t="s">
        <v>880</v>
      </c>
      <c r="I28" s="131"/>
      <c r="J28" s="127">
        <v>1</v>
      </c>
      <c r="K28" s="105"/>
      <c r="L28" s="108"/>
      <c r="M28" s="107"/>
      <c r="N28" s="117">
        <v>1</v>
      </c>
      <c r="O28" s="108"/>
      <c r="P28" s="117">
        <v>1</v>
      </c>
      <c r="Q28" s="117">
        <v>1</v>
      </c>
      <c r="R28" s="125"/>
      <c r="S28" s="117"/>
      <c r="T28" s="117">
        <v>1</v>
      </c>
      <c r="U28" s="125">
        <f t="shared" si="2"/>
        <v>0</v>
      </c>
      <c r="V28" s="117">
        <v>0</v>
      </c>
      <c r="W28" s="117">
        <f t="shared" si="3"/>
        <v>0</v>
      </c>
      <c r="X28" s="117">
        <v>1</v>
      </c>
      <c r="Y28" s="117">
        <f t="shared" si="4"/>
        <v>0</v>
      </c>
      <c r="Z28" s="117"/>
      <c r="AA28" s="117"/>
      <c r="AB28" s="117"/>
      <c r="AC28" s="117"/>
      <c r="AD28" s="117">
        <f t="shared" si="5"/>
        <v>0</v>
      </c>
      <c r="AE28" s="117"/>
      <c r="AF28" s="117">
        <f t="shared" si="6"/>
        <v>0</v>
      </c>
      <c r="AG28" s="117"/>
      <c r="AH28" s="117"/>
      <c r="AI28" s="117">
        <f t="shared" si="7"/>
        <v>0</v>
      </c>
      <c r="AJ28" s="117"/>
      <c r="AK28" s="117">
        <f t="shared" si="8"/>
        <v>0</v>
      </c>
      <c r="AL28" s="119">
        <f t="shared" si="9"/>
        <v>0</v>
      </c>
      <c r="AM28" s="117">
        <f t="shared" si="10"/>
        <v>0</v>
      </c>
      <c r="AN28" s="117">
        <v>13300</v>
      </c>
      <c r="AO28" s="117">
        <f t="shared" si="11"/>
        <v>13300</v>
      </c>
      <c r="AP28" s="117">
        <f t="shared" si="12"/>
        <v>44016244</v>
      </c>
      <c r="AQ28" s="14">
        <v>1</v>
      </c>
    </row>
    <row r="29" ht="29.25" customHeight="1" spans="1:43">
      <c r="A29" s="102">
        <v>24</v>
      </c>
      <c r="B29" s="103" t="s">
        <v>578</v>
      </c>
      <c r="C29" s="104" t="s">
        <v>579</v>
      </c>
      <c r="D29" s="103" t="s">
        <v>518</v>
      </c>
      <c r="E29" s="105">
        <v>952.578</v>
      </c>
      <c r="F29" s="127">
        <v>0.00100000004749745</v>
      </c>
      <c r="G29" s="128"/>
      <c r="H29" s="106" t="s">
        <v>880</v>
      </c>
      <c r="I29" s="131"/>
      <c r="J29" s="127">
        <v>1</v>
      </c>
      <c r="K29" s="105"/>
      <c r="L29" s="108"/>
      <c r="M29" s="107"/>
      <c r="N29" s="117">
        <v>1</v>
      </c>
      <c r="O29" s="108"/>
      <c r="P29" s="117">
        <v>1</v>
      </c>
      <c r="Q29" s="117">
        <v>1</v>
      </c>
      <c r="R29" s="125"/>
      <c r="S29" s="117"/>
      <c r="T29" s="117">
        <v>1</v>
      </c>
      <c r="U29" s="125">
        <f t="shared" si="2"/>
        <v>0</v>
      </c>
      <c r="V29" s="117">
        <v>0</v>
      </c>
      <c r="W29" s="117">
        <f t="shared" si="3"/>
        <v>0</v>
      </c>
      <c r="X29" s="117">
        <v>1</v>
      </c>
      <c r="Y29" s="117">
        <f t="shared" si="4"/>
        <v>0</v>
      </c>
      <c r="Z29" s="117"/>
      <c r="AA29" s="117"/>
      <c r="AB29" s="117"/>
      <c r="AC29" s="117"/>
      <c r="AD29" s="117">
        <f t="shared" si="5"/>
        <v>0</v>
      </c>
      <c r="AE29" s="117"/>
      <c r="AF29" s="117">
        <f t="shared" si="6"/>
        <v>0</v>
      </c>
      <c r="AG29" s="117"/>
      <c r="AH29" s="117"/>
      <c r="AI29" s="117">
        <f t="shared" si="7"/>
        <v>0</v>
      </c>
      <c r="AJ29" s="117"/>
      <c r="AK29" s="117">
        <f t="shared" si="8"/>
        <v>0</v>
      </c>
      <c r="AL29" s="119">
        <f t="shared" si="9"/>
        <v>0</v>
      </c>
      <c r="AM29" s="117">
        <f t="shared" si="10"/>
        <v>0</v>
      </c>
      <c r="AN29" s="117">
        <v>13300</v>
      </c>
      <c r="AO29" s="117">
        <f t="shared" si="11"/>
        <v>13300</v>
      </c>
      <c r="AP29" s="117">
        <f t="shared" si="12"/>
        <v>12669287</v>
      </c>
      <c r="AQ29" s="14">
        <v>1</v>
      </c>
    </row>
    <row r="30" ht="29.25" customHeight="1" spans="1:43">
      <c r="A30" s="102">
        <v>25</v>
      </c>
      <c r="B30" s="103" t="s">
        <v>581</v>
      </c>
      <c r="C30" s="104" t="s">
        <v>582</v>
      </c>
      <c r="D30" s="103" t="s">
        <v>583</v>
      </c>
      <c r="E30" s="105">
        <v>77.1811</v>
      </c>
      <c r="F30" s="127"/>
      <c r="G30" s="128"/>
      <c r="H30" s="106" t="s">
        <v>880</v>
      </c>
      <c r="I30" s="131"/>
      <c r="J30" s="127">
        <v>1</v>
      </c>
      <c r="K30" s="105"/>
      <c r="L30" s="108"/>
      <c r="M30" s="107"/>
      <c r="N30" s="117">
        <v>1</v>
      </c>
      <c r="O30" s="108"/>
      <c r="P30" s="117">
        <v>1</v>
      </c>
      <c r="Q30" s="117">
        <v>1</v>
      </c>
      <c r="R30" s="125"/>
      <c r="S30" s="117"/>
      <c r="T30" s="117">
        <v>1</v>
      </c>
      <c r="U30" s="125">
        <f t="shared" si="2"/>
        <v>0</v>
      </c>
      <c r="V30" s="117">
        <v>0</v>
      </c>
      <c r="W30" s="117">
        <f t="shared" si="3"/>
        <v>0</v>
      </c>
      <c r="X30" s="117">
        <v>1</v>
      </c>
      <c r="Y30" s="117">
        <f t="shared" si="4"/>
        <v>0</v>
      </c>
      <c r="Z30" s="117"/>
      <c r="AA30" s="117"/>
      <c r="AB30" s="117"/>
      <c r="AC30" s="117"/>
      <c r="AD30" s="117">
        <f t="shared" si="5"/>
        <v>0</v>
      </c>
      <c r="AE30" s="117"/>
      <c r="AF30" s="117">
        <f t="shared" si="6"/>
        <v>0</v>
      </c>
      <c r="AG30" s="117"/>
      <c r="AH30" s="117"/>
      <c r="AI30" s="117">
        <f t="shared" si="7"/>
        <v>0</v>
      </c>
      <c r="AJ30" s="117"/>
      <c r="AK30" s="117">
        <f t="shared" si="8"/>
        <v>0</v>
      </c>
      <c r="AL30" s="119">
        <f t="shared" si="9"/>
        <v>0</v>
      </c>
      <c r="AM30" s="117">
        <f t="shared" si="10"/>
        <v>0</v>
      </c>
      <c r="AN30" s="117">
        <v>200000</v>
      </c>
      <c r="AO30" s="117">
        <f t="shared" si="11"/>
        <v>200000</v>
      </c>
      <c r="AP30" s="117">
        <f t="shared" si="12"/>
        <v>15436220</v>
      </c>
      <c r="AQ30" s="14">
        <v>1</v>
      </c>
    </row>
    <row r="31" ht="30" customHeight="1" spans="1:43">
      <c r="A31" s="102">
        <v>26</v>
      </c>
      <c r="B31" s="103" t="s">
        <v>156</v>
      </c>
      <c r="C31" s="104" t="s">
        <v>585</v>
      </c>
      <c r="D31" s="103" t="s">
        <v>55</v>
      </c>
      <c r="E31" s="105">
        <v>69.0036</v>
      </c>
      <c r="F31" s="127"/>
      <c r="G31" s="128"/>
      <c r="H31" s="106" t="s">
        <v>880</v>
      </c>
      <c r="I31" s="131"/>
      <c r="J31" s="127">
        <v>1</v>
      </c>
      <c r="K31" s="105"/>
      <c r="L31" s="108"/>
      <c r="M31" s="107"/>
      <c r="N31" s="117">
        <v>1</v>
      </c>
      <c r="O31" s="108"/>
      <c r="P31" s="117">
        <v>1</v>
      </c>
      <c r="Q31" s="117">
        <v>1</v>
      </c>
      <c r="R31" s="125"/>
      <c r="S31" s="117"/>
      <c r="T31" s="117">
        <v>1</v>
      </c>
      <c r="U31" s="125">
        <f t="shared" si="2"/>
        <v>0</v>
      </c>
      <c r="V31" s="117">
        <v>0</v>
      </c>
      <c r="W31" s="117">
        <f t="shared" si="3"/>
        <v>0</v>
      </c>
      <c r="X31" s="117">
        <v>1</v>
      </c>
      <c r="Y31" s="117">
        <f t="shared" si="4"/>
        <v>0</v>
      </c>
      <c r="Z31" s="117"/>
      <c r="AA31" s="117"/>
      <c r="AB31" s="117"/>
      <c r="AC31" s="117"/>
      <c r="AD31" s="117">
        <f t="shared" si="5"/>
        <v>0</v>
      </c>
      <c r="AE31" s="117"/>
      <c r="AF31" s="117">
        <f t="shared" si="6"/>
        <v>0</v>
      </c>
      <c r="AG31" s="117"/>
      <c r="AH31" s="117"/>
      <c r="AI31" s="117">
        <f t="shared" si="7"/>
        <v>0</v>
      </c>
      <c r="AJ31" s="117"/>
      <c r="AK31" s="117">
        <f t="shared" si="8"/>
        <v>0</v>
      </c>
      <c r="AL31" s="119">
        <f t="shared" si="9"/>
        <v>0</v>
      </c>
      <c r="AM31" s="117">
        <f t="shared" si="10"/>
        <v>0</v>
      </c>
      <c r="AN31" s="117">
        <v>1100000</v>
      </c>
      <c r="AO31" s="117">
        <f t="shared" si="11"/>
        <v>1100000</v>
      </c>
      <c r="AP31" s="117">
        <f t="shared" si="12"/>
        <v>75903960</v>
      </c>
      <c r="AQ31" s="14">
        <v>1</v>
      </c>
    </row>
    <row r="32" ht="29.25" customHeight="1" spans="1:43">
      <c r="A32" s="109">
        <v>27</v>
      </c>
      <c r="B32" s="110" t="s">
        <v>587</v>
      </c>
      <c r="C32" s="111" t="s">
        <v>588</v>
      </c>
      <c r="D32" s="110" t="s">
        <v>518</v>
      </c>
      <c r="E32" s="112">
        <v>1630.9619</v>
      </c>
      <c r="F32" s="129">
        <v>0.00100000004749745</v>
      </c>
      <c r="G32" s="130"/>
      <c r="H32" s="113" t="s">
        <v>880</v>
      </c>
      <c r="I32" s="132">
        <v>3</v>
      </c>
      <c r="J32" s="129">
        <v>1</v>
      </c>
      <c r="K32" s="112"/>
      <c r="L32" s="115"/>
      <c r="M32" s="114"/>
      <c r="N32" s="120">
        <v>1</v>
      </c>
      <c r="O32" s="115"/>
      <c r="P32" s="120">
        <v>1</v>
      </c>
      <c r="Q32" s="120">
        <v>1</v>
      </c>
      <c r="R32" s="126"/>
      <c r="S32" s="120"/>
      <c r="T32" s="120">
        <v>1</v>
      </c>
      <c r="U32" s="126">
        <f t="shared" si="2"/>
        <v>0</v>
      </c>
      <c r="V32" s="120">
        <v>0</v>
      </c>
      <c r="W32" s="120">
        <f t="shared" si="3"/>
        <v>0</v>
      </c>
      <c r="X32" s="120">
        <v>1</v>
      </c>
      <c r="Y32" s="120">
        <f t="shared" si="4"/>
        <v>0</v>
      </c>
      <c r="Z32" s="120"/>
      <c r="AA32" s="120"/>
      <c r="AB32" s="120"/>
      <c r="AC32" s="120"/>
      <c r="AD32" s="120">
        <f t="shared" si="5"/>
        <v>0</v>
      </c>
      <c r="AE32" s="120"/>
      <c r="AF32" s="120">
        <f t="shared" si="6"/>
        <v>0</v>
      </c>
      <c r="AG32" s="120"/>
      <c r="AH32" s="120"/>
      <c r="AI32" s="120">
        <f t="shared" si="7"/>
        <v>0</v>
      </c>
      <c r="AJ32" s="120"/>
      <c r="AK32" s="120">
        <f t="shared" si="8"/>
        <v>0</v>
      </c>
      <c r="AL32" s="122">
        <f t="shared" si="9"/>
        <v>0</v>
      </c>
      <c r="AM32" s="120">
        <f t="shared" si="10"/>
        <v>0</v>
      </c>
      <c r="AN32" s="120">
        <v>1140</v>
      </c>
      <c r="AO32" s="120">
        <f t="shared" si="11"/>
        <v>1140</v>
      </c>
      <c r="AP32" s="120">
        <f t="shared" si="12"/>
        <v>1859297</v>
      </c>
      <c r="AQ32" s="14">
        <v>1</v>
      </c>
    </row>
  </sheetData>
  <mergeCells count="41">
    <mergeCell ref="A1:AP1"/>
    <mergeCell ref="A2:AP2"/>
    <mergeCell ref="L4:O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</mergeCells>
  <pageMargins left="1.02083333333333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2"/>
  <sheetViews>
    <sheetView zoomScaleSheetLayoutView="60" workbookViewId="0">
      <selection activeCell="A1" sqref="A1:Z1"/>
    </sheetView>
  </sheetViews>
  <sheetFormatPr defaultColWidth="10" defaultRowHeight="15" customHeight="1"/>
  <cols>
    <col min="1" max="1" width="8.16666666666667" style="93" customWidth="1"/>
    <col min="2" max="2" width="16.1666666666667" style="93" customWidth="1"/>
    <col min="3" max="3" width="19.3333333333333" style="14" customWidth="1"/>
    <col min="4" max="4" width="8.16666666666667" style="93" customWidth="1"/>
    <col min="5" max="5" width="16.3333333333333" style="93" hidden="1" customWidth="1"/>
    <col min="6" max="6" width="13.6666666666667" style="14" customWidth="1"/>
    <col min="7" max="7" width="7.16666666666667" style="14" customWidth="1"/>
    <col min="8" max="8" width="11.6666666666667" style="14" customWidth="1"/>
    <col min="9" max="9" width="7.33333333333333" style="14" customWidth="1"/>
    <col min="10" max="10" width="11.6666666666667" style="93" customWidth="1"/>
    <col min="11" max="16" width="16.3333333333333" style="14" customWidth="1"/>
    <col min="17" max="17" width="9.16666666666667" style="14" customWidth="1"/>
    <col min="18" max="18" width="16.1666666666667" style="14" customWidth="1"/>
    <col min="19" max="21" width="9.16666666666667" style="14" customWidth="1"/>
    <col min="22" max="22" width="16.1666666666667" style="14" customWidth="1"/>
    <col min="23" max="23" width="22" style="93" hidden="1" customWidth="1"/>
    <col min="24" max="26" width="16.3333333333333" style="93" hidden="1" customWidth="1"/>
    <col min="27" max="16384" width="10" style="14"/>
  </cols>
  <sheetData>
    <row r="1" ht="26.25" customHeight="1" spans="1:1">
      <c r="A1" s="94" t="s">
        <v>881</v>
      </c>
    </row>
    <row r="2" ht="30" customHeight="1" spans="1:1">
      <c r="A2" s="95" t="s">
        <v>1</v>
      </c>
    </row>
    <row r="3" hidden="1" customHeight="1"/>
    <row r="4" ht="84" customHeight="1" spans="1:26">
      <c r="A4" s="96" t="s">
        <v>3</v>
      </c>
      <c r="B4" s="97" t="s">
        <v>4</v>
      </c>
      <c r="C4" s="98" t="s">
        <v>882</v>
      </c>
      <c r="D4" s="97" t="s">
        <v>840</v>
      </c>
      <c r="E4" s="97" t="s">
        <v>841</v>
      </c>
      <c r="F4" s="98" t="s">
        <v>883</v>
      </c>
      <c r="G4" s="98" t="s">
        <v>884</v>
      </c>
      <c r="H4" s="98" t="s">
        <v>885</v>
      </c>
      <c r="I4" s="98" t="s">
        <v>886</v>
      </c>
      <c r="J4" s="97" t="s">
        <v>887</v>
      </c>
      <c r="K4" s="116" t="s">
        <v>888</v>
      </c>
      <c r="L4" s="116" t="str">
        <f>""</f>
        <v/>
      </c>
      <c r="M4" s="92" t="str">
        <f>""</f>
        <v/>
      </c>
      <c r="N4" s="116" t="s">
        <v>889</v>
      </c>
      <c r="O4" s="116" t="str">
        <f>""</f>
        <v/>
      </c>
      <c r="P4" s="92" t="str">
        <f>""</f>
        <v/>
      </c>
      <c r="Q4" s="98" t="s">
        <v>890</v>
      </c>
      <c r="R4" s="98" t="s">
        <v>891</v>
      </c>
      <c r="S4" s="98" t="s">
        <v>892</v>
      </c>
      <c r="T4" s="98" t="s">
        <v>893</v>
      </c>
      <c r="U4" s="98" t="s">
        <v>842</v>
      </c>
      <c r="V4" s="98" t="s">
        <v>894</v>
      </c>
      <c r="W4" s="97" t="s">
        <v>895</v>
      </c>
      <c r="X4" s="97" t="s">
        <v>873</v>
      </c>
      <c r="Y4" s="97" t="s">
        <v>874</v>
      </c>
      <c r="Z4" s="97" t="s">
        <v>875</v>
      </c>
    </row>
    <row r="5" ht="23.25" customHeight="1" spans="1:26">
      <c r="A5" s="99" t="str">
        <f t="shared" ref="A5:J5" si="0">""</f>
        <v/>
      </c>
      <c r="B5" s="100" t="str">
        <f t="shared" si="0"/>
        <v/>
      </c>
      <c r="C5" s="101" t="str">
        <f t="shared" si="0"/>
        <v/>
      </c>
      <c r="D5" s="100" t="str">
        <f t="shared" si="0"/>
        <v/>
      </c>
      <c r="E5" s="100" t="str">
        <f t="shared" si="0"/>
        <v/>
      </c>
      <c r="F5" s="101" t="str">
        <f t="shared" si="0"/>
        <v/>
      </c>
      <c r="G5" s="101" t="str">
        <f t="shared" si="0"/>
        <v/>
      </c>
      <c r="H5" s="101" t="str">
        <f t="shared" si="0"/>
        <v/>
      </c>
      <c r="I5" s="101" t="str">
        <f t="shared" si="0"/>
        <v/>
      </c>
      <c r="J5" s="100" t="str">
        <f t="shared" si="0"/>
        <v/>
      </c>
      <c r="K5" s="101" t="s">
        <v>896</v>
      </c>
      <c r="L5" s="101" t="s">
        <v>897</v>
      </c>
      <c r="M5" s="101" t="s">
        <v>898</v>
      </c>
      <c r="N5" s="101" t="s">
        <v>896</v>
      </c>
      <c r="O5" s="101" t="s">
        <v>897</v>
      </c>
      <c r="P5" s="101" t="s">
        <v>898</v>
      </c>
      <c r="Q5" s="101" t="str">
        <f t="shared" ref="Q5:Z5" si="1">""</f>
        <v/>
      </c>
      <c r="R5" s="101" t="str">
        <f t="shared" si="1"/>
        <v/>
      </c>
      <c r="S5" s="101" t="str">
        <f t="shared" si="1"/>
        <v/>
      </c>
      <c r="T5" s="101" t="str">
        <f t="shared" si="1"/>
        <v/>
      </c>
      <c r="U5" s="101" t="str">
        <f t="shared" si="1"/>
        <v/>
      </c>
      <c r="V5" s="101" t="str">
        <f t="shared" si="1"/>
        <v/>
      </c>
      <c r="W5" s="100" t="str">
        <f t="shared" si="1"/>
        <v/>
      </c>
      <c r="X5" s="100" t="str">
        <f t="shared" si="1"/>
        <v/>
      </c>
      <c r="Y5" s="100" t="str">
        <f t="shared" si="1"/>
        <v/>
      </c>
      <c r="Z5" s="100" t="str">
        <f t="shared" si="1"/>
        <v/>
      </c>
    </row>
    <row r="6" ht="17.25" customHeight="1" spans="1:26">
      <c r="A6" s="102">
        <v>1</v>
      </c>
      <c r="B6" s="103" t="s">
        <v>506</v>
      </c>
      <c r="C6" s="104" t="s">
        <v>507</v>
      </c>
      <c r="D6" s="103" t="s">
        <v>55</v>
      </c>
      <c r="E6" s="105">
        <v>17.2996</v>
      </c>
      <c r="F6" s="106"/>
      <c r="G6" s="107" t="b">
        <v>0</v>
      </c>
      <c r="H6" s="108"/>
      <c r="I6" s="117">
        <v>1</v>
      </c>
      <c r="J6" s="105"/>
      <c r="K6" s="118"/>
      <c r="L6" s="118"/>
      <c r="M6" s="118"/>
      <c r="N6" s="119"/>
      <c r="O6" s="119"/>
      <c r="P6" s="119"/>
      <c r="Q6" s="117">
        <v>1</v>
      </c>
      <c r="R6" s="119"/>
      <c r="S6" s="117">
        <v>1</v>
      </c>
      <c r="T6" s="117">
        <v>1</v>
      </c>
      <c r="U6" s="117">
        <v>1</v>
      </c>
      <c r="V6" s="117">
        <f t="shared" ref="V6:V32" si="2">ROUND(SUM(R6:R6)*S6*T6*U6,0)</f>
        <v>0</v>
      </c>
      <c r="W6" s="123"/>
      <c r="X6" s="123">
        <v>73730</v>
      </c>
      <c r="Y6" s="125">
        <f t="shared" ref="Y6:Y32" si="3">ROUND(V6+X6,0)</f>
        <v>73730</v>
      </c>
      <c r="Z6" s="125">
        <f t="shared" ref="Z6:Z32" si="4">ROUND(E6*Y6,0)</f>
        <v>1275500</v>
      </c>
    </row>
    <row r="7" ht="30" customHeight="1" spans="1:26">
      <c r="A7" s="102">
        <v>2</v>
      </c>
      <c r="B7" s="103" t="s">
        <v>510</v>
      </c>
      <c r="C7" s="104" t="s">
        <v>511</v>
      </c>
      <c r="D7" s="103" t="s">
        <v>55</v>
      </c>
      <c r="E7" s="105">
        <v>1.3637</v>
      </c>
      <c r="F7" s="106"/>
      <c r="G7" s="107" t="b">
        <v>0</v>
      </c>
      <c r="H7" s="108"/>
      <c r="I7" s="117">
        <v>1</v>
      </c>
      <c r="J7" s="105"/>
      <c r="K7" s="118"/>
      <c r="L7" s="118"/>
      <c r="M7" s="118"/>
      <c r="N7" s="119"/>
      <c r="O7" s="119"/>
      <c r="P7" s="119"/>
      <c r="Q7" s="117">
        <v>1</v>
      </c>
      <c r="R7" s="119"/>
      <c r="S7" s="117">
        <v>1</v>
      </c>
      <c r="T7" s="117">
        <v>1</v>
      </c>
      <c r="U7" s="117">
        <v>1</v>
      </c>
      <c r="V7" s="117">
        <f t="shared" si="2"/>
        <v>0</v>
      </c>
      <c r="W7" s="123"/>
      <c r="X7" s="123">
        <v>84840</v>
      </c>
      <c r="Y7" s="125">
        <f t="shared" si="3"/>
        <v>84840</v>
      </c>
      <c r="Z7" s="125">
        <f t="shared" si="4"/>
        <v>115696</v>
      </c>
    </row>
    <row r="8" ht="17.25" customHeight="1" spans="1:26">
      <c r="A8" s="102">
        <v>3</v>
      </c>
      <c r="B8" s="103" t="s">
        <v>513</v>
      </c>
      <c r="C8" s="104" t="s">
        <v>514</v>
      </c>
      <c r="D8" s="103" t="s">
        <v>55</v>
      </c>
      <c r="E8" s="105">
        <v>2.2364</v>
      </c>
      <c r="F8" s="106"/>
      <c r="G8" s="107" t="b">
        <v>0</v>
      </c>
      <c r="H8" s="108"/>
      <c r="I8" s="117">
        <v>1</v>
      </c>
      <c r="J8" s="105"/>
      <c r="K8" s="118"/>
      <c r="L8" s="118"/>
      <c r="M8" s="118"/>
      <c r="N8" s="119"/>
      <c r="O8" s="119"/>
      <c r="P8" s="119"/>
      <c r="Q8" s="117">
        <v>1</v>
      </c>
      <c r="R8" s="119"/>
      <c r="S8" s="117">
        <v>1</v>
      </c>
      <c r="T8" s="117">
        <v>1</v>
      </c>
      <c r="U8" s="117">
        <v>1</v>
      </c>
      <c r="V8" s="117">
        <f t="shared" si="2"/>
        <v>0</v>
      </c>
      <c r="W8" s="123"/>
      <c r="X8" s="123">
        <v>258560</v>
      </c>
      <c r="Y8" s="125">
        <f t="shared" si="3"/>
        <v>258560</v>
      </c>
      <c r="Z8" s="125">
        <f t="shared" si="4"/>
        <v>578244</v>
      </c>
    </row>
    <row r="9" ht="30" customHeight="1" spans="1:26">
      <c r="A9" s="102">
        <v>4</v>
      </c>
      <c r="B9" s="103" t="s">
        <v>516</v>
      </c>
      <c r="C9" s="104" t="s">
        <v>517</v>
      </c>
      <c r="D9" s="103" t="s">
        <v>518</v>
      </c>
      <c r="E9" s="105">
        <v>166.271</v>
      </c>
      <c r="F9" s="106"/>
      <c r="G9" s="107" t="b">
        <v>0</v>
      </c>
      <c r="H9" s="108"/>
      <c r="I9" s="117">
        <v>1</v>
      </c>
      <c r="J9" s="105"/>
      <c r="K9" s="118"/>
      <c r="L9" s="118"/>
      <c r="M9" s="118"/>
      <c r="N9" s="119"/>
      <c r="O9" s="119"/>
      <c r="P9" s="119"/>
      <c r="Q9" s="117">
        <v>1</v>
      </c>
      <c r="R9" s="119"/>
      <c r="S9" s="117">
        <v>1</v>
      </c>
      <c r="T9" s="117">
        <v>1</v>
      </c>
      <c r="U9" s="117">
        <v>1</v>
      </c>
      <c r="V9" s="117">
        <f t="shared" si="2"/>
        <v>0</v>
      </c>
      <c r="W9" s="123"/>
      <c r="X9" s="123">
        <v>16190</v>
      </c>
      <c r="Y9" s="125">
        <f t="shared" si="3"/>
        <v>16190</v>
      </c>
      <c r="Z9" s="125">
        <f t="shared" si="4"/>
        <v>2691927</v>
      </c>
    </row>
    <row r="10" ht="17.25" customHeight="1" spans="1:26">
      <c r="A10" s="102">
        <v>5</v>
      </c>
      <c r="B10" s="103" t="s">
        <v>521</v>
      </c>
      <c r="C10" s="104" t="s">
        <v>522</v>
      </c>
      <c r="D10" s="103" t="s">
        <v>518</v>
      </c>
      <c r="E10" s="105">
        <v>149.0569</v>
      </c>
      <c r="F10" s="106"/>
      <c r="G10" s="107" t="b">
        <v>0</v>
      </c>
      <c r="H10" s="108"/>
      <c r="I10" s="117">
        <v>1</v>
      </c>
      <c r="J10" s="105"/>
      <c r="K10" s="118"/>
      <c r="L10" s="118"/>
      <c r="M10" s="118"/>
      <c r="N10" s="119"/>
      <c r="O10" s="119"/>
      <c r="P10" s="119"/>
      <c r="Q10" s="117">
        <v>1</v>
      </c>
      <c r="R10" s="119"/>
      <c r="S10" s="117">
        <v>1</v>
      </c>
      <c r="T10" s="117">
        <v>1</v>
      </c>
      <c r="U10" s="117">
        <v>1</v>
      </c>
      <c r="V10" s="117">
        <f t="shared" si="2"/>
        <v>0</v>
      </c>
      <c r="W10" s="123"/>
      <c r="X10" s="123">
        <v>20000</v>
      </c>
      <c r="Y10" s="125">
        <f t="shared" si="3"/>
        <v>20000</v>
      </c>
      <c r="Z10" s="125">
        <f t="shared" si="4"/>
        <v>2981138</v>
      </c>
    </row>
    <row r="11" ht="17.25" customHeight="1" spans="1:26">
      <c r="A11" s="102">
        <v>6</v>
      </c>
      <c r="B11" s="103" t="s">
        <v>524</v>
      </c>
      <c r="C11" s="104" t="s">
        <v>525</v>
      </c>
      <c r="D11" s="103" t="s">
        <v>526</v>
      </c>
      <c r="E11" s="105">
        <v>0.5539</v>
      </c>
      <c r="F11" s="106"/>
      <c r="G11" s="107" t="b">
        <v>0</v>
      </c>
      <c r="H11" s="108"/>
      <c r="I11" s="117">
        <v>1</v>
      </c>
      <c r="J11" s="105"/>
      <c r="K11" s="118"/>
      <c r="L11" s="118"/>
      <c r="M11" s="118"/>
      <c r="N11" s="119"/>
      <c r="O11" s="119"/>
      <c r="P11" s="119"/>
      <c r="Q11" s="117">
        <v>1</v>
      </c>
      <c r="R11" s="119"/>
      <c r="S11" s="117">
        <v>1</v>
      </c>
      <c r="T11" s="117">
        <v>1</v>
      </c>
      <c r="U11" s="117">
        <v>1</v>
      </c>
      <c r="V11" s="117">
        <f t="shared" si="2"/>
        <v>0</v>
      </c>
      <c r="W11" s="123"/>
      <c r="X11" s="123">
        <v>15500</v>
      </c>
      <c r="Y11" s="125">
        <f t="shared" si="3"/>
        <v>15500</v>
      </c>
      <c r="Z11" s="125">
        <f t="shared" si="4"/>
        <v>8585</v>
      </c>
    </row>
    <row r="12" ht="17.25" customHeight="1" spans="1:26">
      <c r="A12" s="102">
        <v>7</v>
      </c>
      <c r="B12" s="103" t="s">
        <v>527</v>
      </c>
      <c r="C12" s="104" t="s">
        <v>528</v>
      </c>
      <c r="D12" s="103" t="s">
        <v>55</v>
      </c>
      <c r="E12" s="105">
        <v>1.6489</v>
      </c>
      <c r="F12" s="106"/>
      <c r="G12" s="107" t="b">
        <v>0</v>
      </c>
      <c r="H12" s="108"/>
      <c r="I12" s="117">
        <v>1</v>
      </c>
      <c r="J12" s="105"/>
      <c r="K12" s="118"/>
      <c r="L12" s="118"/>
      <c r="M12" s="118"/>
      <c r="N12" s="119"/>
      <c r="O12" s="119"/>
      <c r="P12" s="119"/>
      <c r="Q12" s="117">
        <v>1</v>
      </c>
      <c r="R12" s="119"/>
      <c r="S12" s="117">
        <v>1</v>
      </c>
      <c r="T12" s="117">
        <v>1</v>
      </c>
      <c r="U12" s="117">
        <v>1</v>
      </c>
      <c r="V12" s="117">
        <f t="shared" si="2"/>
        <v>0</v>
      </c>
      <c r="W12" s="123"/>
      <c r="X12" s="123">
        <v>260000</v>
      </c>
      <c r="Y12" s="125">
        <f t="shared" si="3"/>
        <v>260000</v>
      </c>
      <c r="Z12" s="125">
        <f t="shared" si="4"/>
        <v>428714</v>
      </c>
    </row>
    <row r="13" ht="17.25" customHeight="1" spans="1:26">
      <c r="A13" s="102">
        <v>8</v>
      </c>
      <c r="B13" s="103" t="s">
        <v>530</v>
      </c>
      <c r="C13" s="104" t="s">
        <v>531</v>
      </c>
      <c r="D13" s="103" t="s">
        <v>55</v>
      </c>
      <c r="E13" s="105">
        <v>2.2102</v>
      </c>
      <c r="F13" s="106"/>
      <c r="G13" s="107" t="b">
        <v>0</v>
      </c>
      <c r="H13" s="108"/>
      <c r="I13" s="117">
        <v>1</v>
      </c>
      <c r="J13" s="105"/>
      <c r="K13" s="118"/>
      <c r="L13" s="118"/>
      <c r="M13" s="118"/>
      <c r="N13" s="119"/>
      <c r="O13" s="119"/>
      <c r="P13" s="119"/>
      <c r="Q13" s="117">
        <v>1</v>
      </c>
      <c r="R13" s="119"/>
      <c r="S13" s="117">
        <v>1</v>
      </c>
      <c r="T13" s="117">
        <v>1</v>
      </c>
      <c r="U13" s="117">
        <v>1</v>
      </c>
      <c r="V13" s="117">
        <f t="shared" si="2"/>
        <v>0</v>
      </c>
      <c r="W13" s="123"/>
      <c r="X13" s="123">
        <v>227000</v>
      </c>
      <c r="Y13" s="125">
        <f t="shared" si="3"/>
        <v>227000</v>
      </c>
      <c r="Z13" s="125">
        <f t="shared" si="4"/>
        <v>501715</v>
      </c>
    </row>
    <row r="14" ht="17.25" customHeight="1" spans="1:26">
      <c r="A14" s="102">
        <v>9</v>
      </c>
      <c r="B14" s="103" t="s">
        <v>533</v>
      </c>
      <c r="C14" s="104" t="s">
        <v>534</v>
      </c>
      <c r="D14" s="103" t="s">
        <v>526</v>
      </c>
      <c r="E14" s="105">
        <v>0.2261</v>
      </c>
      <c r="F14" s="106"/>
      <c r="G14" s="107" t="b">
        <v>0</v>
      </c>
      <c r="H14" s="108"/>
      <c r="I14" s="117">
        <v>1</v>
      </c>
      <c r="J14" s="105"/>
      <c r="K14" s="118"/>
      <c r="L14" s="118"/>
      <c r="M14" s="118"/>
      <c r="N14" s="119"/>
      <c r="O14" s="119"/>
      <c r="P14" s="119"/>
      <c r="Q14" s="117">
        <v>1</v>
      </c>
      <c r="R14" s="119"/>
      <c r="S14" s="117">
        <v>1</v>
      </c>
      <c r="T14" s="117">
        <v>1</v>
      </c>
      <c r="U14" s="117">
        <v>1</v>
      </c>
      <c r="V14" s="117">
        <f t="shared" si="2"/>
        <v>0</v>
      </c>
      <c r="W14" s="123"/>
      <c r="X14" s="123">
        <v>15000</v>
      </c>
      <c r="Y14" s="125">
        <f t="shared" si="3"/>
        <v>15000</v>
      </c>
      <c r="Z14" s="125">
        <f t="shared" si="4"/>
        <v>3392</v>
      </c>
    </row>
    <row r="15" ht="17.25" customHeight="1" spans="1:26">
      <c r="A15" s="102">
        <v>10</v>
      </c>
      <c r="B15" s="103" t="s">
        <v>536</v>
      </c>
      <c r="C15" s="104" t="s">
        <v>537</v>
      </c>
      <c r="D15" s="103" t="s">
        <v>518</v>
      </c>
      <c r="E15" s="105">
        <v>13.7285</v>
      </c>
      <c r="F15" s="106"/>
      <c r="G15" s="107" t="b">
        <v>0</v>
      </c>
      <c r="H15" s="108"/>
      <c r="I15" s="117">
        <v>1</v>
      </c>
      <c r="J15" s="105"/>
      <c r="K15" s="118"/>
      <c r="L15" s="118"/>
      <c r="M15" s="118"/>
      <c r="N15" s="119"/>
      <c r="O15" s="119"/>
      <c r="P15" s="119"/>
      <c r="Q15" s="117">
        <v>1</v>
      </c>
      <c r="R15" s="119"/>
      <c r="S15" s="117">
        <v>1</v>
      </c>
      <c r="T15" s="117">
        <v>1</v>
      </c>
      <c r="U15" s="117">
        <v>1</v>
      </c>
      <c r="V15" s="117">
        <f t="shared" si="2"/>
        <v>0</v>
      </c>
      <c r="W15" s="123"/>
      <c r="X15" s="123">
        <v>20000</v>
      </c>
      <c r="Y15" s="125">
        <f t="shared" si="3"/>
        <v>20000</v>
      </c>
      <c r="Z15" s="125">
        <f t="shared" si="4"/>
        <v>274570</v>
      </c>
    </row>
    <row r="16" ht="17.25" customHeight="1" spans="1:26">
      <c r="A16" s="102">
        <v>11</v>
      </c>
      <c r="B16" s="103" t="s">
        <v>539</v>
      </c>
      <c r="C16" s="104" t="s">
        <v>540</v>
      </c>
      <c r="D16" s="103" t="s">
        <v>450</v>
      </c>
      <c r="E16" s="105">
        <v>14.125</v>
      </c>
      <c r="F16" s="106"/>
      <c r="G16" s="107" t="b">
        <v>0</v>
      </c>
      <c r="H16" s="108"/>
      <c r="I16" s="117">
        <v>1</v>
      </c>
      <c r="J16" s="105"/>
      <c r="K16" s="118"/>
      <c r="L16" s="118"/>
      <c r="M16" s="118"/>
      <c r="N16" s="119"/>
      <c r="O16" s="119"/>
      <c r="P16" s="119"/>
      <c r="Q16" s="117">
        <v>1</v>
      </c>
      <c r="R16" s="119"/>
      <c r="S16" s="117">
        <v>1</v>
      </c>
      <c r="T16" s="117">
        <v>1</v>
      </c>
      <c r="U16" s="117">
        <v>1</v>
      </c>
      <c r="V16" s="117">
        <f t="shared" si="2"/>
        <v>0</v>
      </c>
      <c r="W16" s="123"/>
      <c r="X16" s="123">
        <v>3000</v>
      </c>
      <c r="Y16" s="125">
        <f t="shared" si="3"/>
        <v>3000</v>
      </c>
      <c r="Z16" s="125">
        <f t="shared" si="4"/>
        <v>42375</v>
      </c>
    </row>
    <row r="17" ht="30" customHeight="1" spans="1:26">
      <c r="A17" s="102">
        <v>12</v>
      </c>
      <c r="B17" s="103" t="s">
        <v>542</v>
      </c>
      <c r="C17" s="104" t="s">
        <v>543</v>
      </c>
      <c r="D17" s="103" t="s">
        <v>526</v>
      </c>
      <c r="E17" s="105">
        <v>2370.6078</v>
      </c>
      <c r="F17" s="106"/>
      <c r="G17" s="107" t="b">
        <v>0</v>
      </c>
      <c r="H17" s="108"/>
      <c r="I17" s="117">
        <v>1</v>
      </c>
      <c r="J17" s="105"/>
      <c r="K17" s="118"/>
      <c r="L17" s="118"/>
      <c r="M17" s="118"/>
      <c r="N17" s="119"/>
      <c r="O17" s="119"/>
      <c r="P17" s="119"/>
      <c r="Q17" s="117">
        <v>1</v>
      </c>
      <c r="R17" s="119"/>
      <c r="S17" s="117">
        <v>1</v>
      </c>
      <c r="T17" s="117">
        <v>1</v>
      </c>
      <c r="U17" s="117">
        <v>1</v>
      </c>
      <c r="V17" s="117">
        <f t="shared" si="2"/>
        <v>0</v>
      </c>
      <c r="W17" s="123"/>
      <c r="X17" s="123">
        <v>1314</v>
      </c>
      <c r="Y17" s="125">
        <f t="shared" si="3"/>
        <v>1314</v>
      </c>
      <c r="Z17" s="125">
        <f t="shared" si="4"/>
        <v>3114979</v>
      </c>
    </row>
    <row r="18" ht="17.25" customHeight="1" spans="1:26">
      <c r="A18" s="102">
        <v>13</v>
      </c>
      <c r="B18" s="103" t="s">
        <v>546</v>
      </c>
      <c r="C18" s="104" t="s">
        <v>547</v>
      </c>
      <c r="D18" s="103" t="s">
        <v>55</v>
      </c>
      <c r="E18" s="105">
        <v>0.3471</v>
      </c>
      <c r="F18" s="106"/>
      <c r="G18" s="107" t="b">
        <v>0</v>
      </c>
      <c r="H18" s="108"/>
      <c r="I18" s="117">
        <v>1</v>
      </c>
      <c r="J18" s="105"/>
      <c r="K18" s="118"/>
      <c r="L18" s="118"/>
      <c r="M18" s="118"/>
      <c r="N18" s="119"/>
      <c r="O18" s="119"/>
      <c r="P18" s="119"/>
      <c r="Q18" s="117">
        <v>1</v>
      </c>
      <c r="R18" s="119"/>
      <c r="S18" s="117">
        <v>1</v>
      </c>
      <c r="T18" s="117">
        <v>1</v>
      </c>
      <c r="U18" s="117">
        <v>1</v>
      </c>
      <c r="V18" s="117">
        <f t="shared" si="2"/>
        <v>0</v>
      </c>
      <c r="W18" s="123"/>
      <c r="X18" s="123">
        <v>2000000</v>
      </c>
      <c r="Y18" s="125">
        <f t="shared" si="3"/>
        <v>2000000</v>
      </c>
      <c r="Z18" s="125">
        <f t="shared" si="4"/>
        <v>694200</v>
      </c>
    </row>
    <row r="19" ht="17.25" customHeight="1" spans="1:26">
      <c r="A19" s="102">
        <v>14</v>
      </c>
      <c r="B19" s="103" t="s">
        <v>549</v>
      </c>
      <c r="C19" s="104" t="s">
        <v>550</v>
      </c>
      <c r="D19" s="103" t="s">
        <v>55</v>
      </c>
      <c r="E19" s="105">
        <v>0.0653</v>
      </c>
      <c r="F19" s="106"/>
      <c r="G19" s="107" t="b">
        <v>0</v>
      </c>
      <c r="H19" s="108"/>
      <c r="I19" s="117">
        <v>1</v>
      </c>
      <c r="J19" s="105"/>
      <c r="K19" s="118"/>
      <c r="L19" s="118"/>
      <c r="M19" s="118"/>
      <c r="N19" s="119"/>
      <c r="O19" s="119"/>
      <c r="P19" s="119"/>
      <c r="Q19" s="117">
        <v>1</v>
      </c>
      <c r="R19" s="119"/>
      <c r="S19" s="117">
        <v>1</v>
      </c>
      <c r="T19" s="117">
        <v>1</v>
      </c>
      <c r="U19" s="117">
        <v>1</v>
      </c>
      <c r="V19" s="117">
        <f t="shared" si="2"/>
        <v>0</v>
      </c>
      <c r="W19" s="123"/>
      <c r="X19" s="123">
        <v>2000000</v>
      </c>
      <c r="Y19" s="125">
        <f t="shared" si="3"/>
        <v>2000000</v>
      </c>
      <c r="Z19" s="125">
        <f t="shared" si="4"/>
        <v>130600</v>
      </c>
    </row>
    <row r="20" ht="17.25" customHeight="1" spans="1:26">
      <c r="A20" s="102">
        <v>15</v>
      </c>
      <c r="B20" s="103" t="s">
        <v>552</v>
      </c>
      <c r="C20" s="104" t="s">
        <v>553</v>
      </c>
      <c r="D20" s="103" t="s">
        <v>55</v>
      </c>
      <c r="E20" s="105">
        <v>0.3457</v>
      </c>
      <c r="F20" s="106"/>
      <c r="G20" s="107" t="b">
        <v>0</v>
      </c>
      <c r="H20" s="108"/>
      <c r="I20" s="117">
        <v>1</v>
      </c>
      <c r="J20" s="105"/>
      <c r="K20" s="118"/>
      <c r="L20" s="118"/>
      <c r="M20" s="118"/>
      <c r="N20" s="119"/>
      <c r="O20" s="119"/>
      <c r="P20" s="119"/>
      <c r="Q20" s="117">
        <v>1</v>
      </c>
      <c r="R20" s="119"/>
      <c r="S20" s="117">
        <v>1</v>
      </c>
      <c r="T20" s="117">
        <v>1</v>
      </c>
      <c r="U20" s="117">
        <v>1</v>
      </c>
      <c r="V20" s="117">
        <f t="shared" si="2"/>
        <v>0</v>
      </c>
      <c r="W20" s="123"/>
      <c r="X20" s="123">
        <v>2000000</v>
      </c>
      <c r="Y20" s="125">
        <f t="shared" si="3"/>
        <v>2000000</v>
      </c>
      <c r="Z20" s="125">
        <f t="shared" si="4"/>
        <v>691400</v>
      </c>
    </row>
    <row r="21" ht="17.25" customHeight="1" spans="1:26">
      <c r="A21" s="102">
        <v>16</v>
      </c>
      <c r="B21" s="103" t="s">
        <v>554</v>
      </c>
      <c r="C21" s="104" t="s">
        <v>555</v>
      </c>
      <c r="D21" s="103" t="s">
        <v>55</v>
      </c>
      <c r="E21" s="105">
        <v>0.8753</v>
      </c>
      <c r="F21" s="106"/>
      <c r="G21" s="107" t="b">
        <v>0</v>
      </c>
      <c r="H21" s="108"/>
      <c r="I21" s="117">
        <v>1</v>
      </c>
      <c r="J21" s="105"/>
      <c r="K21" s="118"/>
      <c r="L21" s="118"/>
      <c r="M21" s="118"/>
      <c r="N21" s="119"/>
      <c r="O21" s="119"/>
      <c r="P21" s="119"/>
      <c r="Q21" s="117">
        <v>1</v>
      </c>
      <c r="R21" s="119"/>
      <c r="S21" s="117">
        <v>1</v>
      </c>
      <c r="T21" s="117">
        <v>1</v>
      </c>
      <c r="U21" s="117">
        <v>1</v>
      </c>
      <c r="V21" s="117">
        <f t="shared" si="2"/>
        <v>0</v>
      </c>
      <c r="W21" s="123"/>
      <c r="X21" s="123">
        <v>2000000</v>
      </c>
      <c r="Y21" s="125">
        <f t="shared" si="3"/>
        <v>2000000</v>
      </c>
      <c r="Z21" s="125">
        <f t="shared" si="4"/>
        <v>1750600</v>
      </c>
    </row>
    <row r="22" ht="17.25" customHeight="1" spans="1:26">
      <c r="A22" s="102">
        <v>17</v>
      </c>
      <c r="B22" s="103" t="s">
        <v>557</v>
      </c>
      <c r="C22" s="104" t="s">
        <v>558</v>
      </c>
      <c r="D22" s="103" t="s">
        <v>55</v>
      </c>
      <c r="E22" s="105">
        <v>0.0145</v>
      </c>
      <c r="F22" s="106"/>
      <c r="G22" s="107" t="b">
        <v>0</v>
      </c>
      <c r="H22" s="108"/>
      <c r="I22" s="117">
        <v>1</v>
      </c>
      <c r="J22" s="105"/>
      <c r="K22" s="118"/>
      <c r="L22" s="118"/>
      <c r="M22" s="118"/>
      <c r="N22" s="119"/>
      <c r="O22" s="119"/>
      <c r="P22" s="119"/>
      <c r="Q22" s="117">
        <v>1</v>
      </c>
      <c r="R22" s="119"/>
      <c r="S22" s="117">
        <v>1</v>
      </c>
      <c r="T22" s="117">
        <v>1</v>
      </c>
      <c r="U22" s="117">
        <v>1</v>
      </c>
      <c r="V22" s="117">
        <f t="shared" si="2"/>
        <v>0</v>
      </c>
      <c r="W22" s="123"/>
      <c r="X22" s="123">
        <v>2000000</v>
      </c>
      <c r="Y22" s="125">
        <f t="shared" si="3"/>
        <v>2000000</v>
      </c>
      <c r="Z22" s="125">
        <f t="shared" si="4"/>
        <v>29000</v>
      </c>
    </row>
    <row r="23" ht="30" customHeight="1" spans="1:26">
      <c r="A23" s="102">
        <v>18</v>
      </c>
      <c r="B23" s="103" t="s">
        <v>560</v>
      </c>
      <c r="C23" s="104" t="s">
        <v>561</v>
      </c>
      <c r="D23" s="103" t="s">
        <v>55</v>
      </c>
      <c r="E23" s="105">
        <v>0.2211</v>
      </c>
      <c r="F23" s="106"/>
      <c r="G23" s="107" t="b">
        <v>0</v>
      </c>
      <c r="H23" s="108"/>
      <c r="I23" s="117">
        <v>1</v>
      </c>
      <c r="J23" s="105"/>
      <c r="K23" s="118"/>
      <c r="L23" s="118"/>
      <c r="M23" s="118"/>
      <c r="N23" s="119"/>
      <c r="O23" s="119"/>
      <c r="P23" s="119"/>
      <c r="Q23" s="117">
        <v>1</v>
      </c>
      <c r="R23" s="119"/>
      <c r="S23" s="117">
        <v>1</v>
      </c>
      <c r="T23" s="117">
        <v>1</v>
      </c>
      <c r="U23" s="117">
        <v>1</v>
      </c>
      <c r="V23" s="117">
        <f t="shared" si="2"/>
        <v>0</v>
      </c>
      <c r="W23" s="123"/>
      <c r="X23" s="123">
        <v>2000000</v>
      </c>
      <c r="Y23" s="125">
        <f t="shared" si="3"/>
        <v>2000000</v>
      </c>
      <c r="Z23" s="125">
        <f t="shared" si="4"/>
        <v>442200</v>
      </c>
    </row>
    <row r="24" ht="30" customHeight="1" spans="1:26">
      <c r="A24" s="102">
        <v>19</v>
      </c>
      <c r="B24" s="103" t="s">
        <v>562</v>
      </c>
      <c r="C24" s="104" t="s">
        <v>563</v>
      </c>
      <c r="D24" s="103" t="s">
        <v>518</v>
      </c>
      <c r="E24" s="105">
        <v>74.8291</v>
      </c>
      <c r="F24" s="106"/>
      <c r="G24" s="107" t="b">
        <v>0</v>
      </c>
      <c r="H24" s="108"/>
      <c r="I24" s="117">
        <v>1</v>
      </c>
      <c r="J24" s="105"/>
      <c r="K24" s="118"/>
      <c r="L24" s="118"/>
      <c r="M24" s="118"/>
      <c r="N24" s="119"/>
      <c r="O24" s="119"/>
      <c r="P24" s="119"/>
      <c r="Q24" s="117">
        <v>1</v>
      </c>
      <c r="R24" s="119"/>
      <c r="S24" s="117">
        <v>1</v>
      </c>
      <c r="T24" s="117">
        <v>1</v>
      </c>
      <c r="U24" s="117">
        <v>1</v>
      </c>
      <c r="V24" s="117">
        <f t="shared" si="2"/>
        <v>0</v>
      </c>
      <c r="W24" s="123"/>
      <c r="X24" s="123">
        <v>69000</v>
      </c>
      <c r="Y24" s="125">
        <f t="shared" si="3"/>
        <v>69000</v>
      </c>
      <c r="Z24" s="125">
        <f t="shared" si="4"/>
        <v>5163208</v>
      </c>
    </row>
    <row r="25" ht="17.25" customHeight="1" spans="1:26">
      <c r="A25" s="102">
        <v>20</v>
      </c>
      <c r="B25" s="103" t="s">
        <v>565</v>
      </c>
      <c r="C25" s="104" t="s">
        <v>566</v>
      </c>
      <c r="D25" s="103" t="s">
        <v>567</v>
      </c>
      <c r="E25" s="105">
        <v>1105.3973</v>
      </c>
      <c r="F25" s="106"/>
      <c r="G25" s="107" t="b">
        <v>0</v>
      </c>
      <c r="H25" s="108"/>
      <c r="I25" s="117">
        <v>1</v>
      </c>
      <c r="J25" s="105"/>
      <c r="K25" s="118"/>
      <c r="L25" s="118"/>
      <c r="M25" s="118"/>
      <c r="N25" s="119"/>
      <c r="O25" s="119"/>
      <c r="P25" s="119"/>
      <c r="Q25" s="117">
        <v>1</v>
      </c>
      <c r="R25" s="119"/>
      <c r="S25" s="117">
        <v>1</v>
      </c>
      <c r="T25" s="117">
        <v>1</v>
      </c>
      <c r="U25" s="117">
        <v>1</v>
      </c>
      <c r="V25" s="117">
        <f t="shared" si="2"/>
        <v>0</v>
      </c>
      <c r="W25" s="123"/>
      <c r="X25" s="123">
        <v>8</v>
      </c>
      <c r="Y25" s="125">
        <f t="shared" si="3"/>
        <v>8</v>
      </c>
      <c r="Z25" s="125">
        <f t="shared" si="4"/>
        <v>8843</v>
      </c>
    </row>
    <row r="26" ht="17.25" customHeight="1" spans="1:26">
      <c r="A26" s="102">
        <v>21</v>
      </c>
      <c r="B26" s="103" t="s">
        <v>569</v>
      </c>
      <c r="C26" s="104" t="s">
        <v>570</v>
      </c>
      <c r="D26" s="103" t="s">
        <v>518</v>
      </c>
      <c r="E26" s="105">
        <v>20.7192</v>
      </c>
      <c r="F26" s="106"/>
      <c r="G26" s="107" t="b">
        <v>0</v>
      </c>
      <c r="H26" s="108"/>
      <c r="I26" s="117">
        <v>1</v>
      </c>
      <c r="J26" s="105"/>
      <c r="K26" s="118"/>
      <c r="L26" s="118"/>
      <c r="M26" s="118"/>
      <c r="N26" s="119"/>
      <c r="O26" s="119"/>
      <c r="P26" s="119"/>
      <c r="Q26" s="117">
        <v>1</v>
      </c>
      <c r="R26" s="119"/>
      <c r="S26" s="117">
        <v>1</v>
      </c>
      <c r="T26" s="117">
        <v>1</v>
      </c>
      <c r="U26" s="117">
        <v>1</v>
      </c>
      <c r="V26" s="117">
        <f t="shared" si="2"/>
        <v>0</v>
      </c>
      <c r="W26" s="123"/>
      <c r="X26" s="123">
        <v>19800</v>
      </c>
      <c r="Y26" s="125">
        <f t="shared" si="3"/>
        <v>19800</v>
      </c>
      <c r="Z26" s="125">
        <f t="shared" si="4"/>
        <v>410240</v>
      </c>
    </row>
    <row r="27" ht="30" customHeight="1" spans="1:26">
      <c r="A27" s="102">
        <v>22</v>
      </c>
      <c r="B27" s="103" t="s">
        <v>572</v>
      </c>
      <c r="C27" s="104" t="s">
        <v>573</v>
      </c>
      <c r="D27" s="103" t="s">
        <v>518</v>
      </c>
      <c r="E27" s="105">
        <v>4193.9655</v>
      </c>
      <c r="F27" s="106"/>
      <c r="G27" s="107" t="b">
        <v>0</v>
      </c>
      <c r="H27" s="108"/>
      <c r="I27" s="117">
        <v>1</v>
      </c>
      <c r="J27" s="105"/>
      <c r="K27" s="118"/>
      <c r="L27" s="118"/>
      <c r="M27" s="118"/>
      <c r="N27" s="119"/>
      <c r="O27" s="119"/>
      <c r="P27" s="119"/>
      <c r="Q27" s="117">
        <v>1</v>
      </c>
      <c r="R27" s="119"/>
      <c r="S27" s="117">
        <v>1</v>
      </c>
      <c r="T27" s="117">
        <v>1</v>
      </c>
      <c r="U27" s="117">
        <v>1</v>
      </c>
      <c r="V27" s="117">
        <f t="shared" si="2"/>
        <v>0</v>
      </c>
      <c r="W27" s="123"/>
      <c r="X27" s="123">
        <v>12900</v>
      </c>
      <c r="Y27" s="125">
        <f t="shared" si="3"/>
        <v>12900</v>
      </c>
      <c r="Z27" s="125">
        <f t="shared" si="4"/>
        <v>54102155</v>
      </c>
    </row>
    <row r="28" ht="30" customHeight="1" spans="1:26">
      <c r="A28" s="102">
        <v>23</v>
      </c>
      <c r="B28" s="103" t="s">
        <v>575</v>
      </c>
      <c r="C28" s="104" t="s">
        <v>576</v>
      </c>
      <c r="D28" s="103" t="s">
        <v>518</v>
      </c>
      <c r="E28" s="105">
        <v>3309.492</v>
      </c>
      <c r="F28" s="106"/>
      <c r="G28" s="107" t="b">
        <v>0</v>
      </c>
      <c r="H28" s="108"/>
      <c r="I28" s="117">
        <v>1</v>
      </c>
      <c r="J28" s="105"/>
      <c r="K28" s="118"/>
      <c r="L28" s="118"/>
      <c r="M28" s="118"/>
      <c r="N28" s="119"/>
      <c r="O28" s="119"/>
      <c r="P28" s="119"/>
      <c r="Q28" s="117">
        <v>1</v>
      </c>
      <c r="R28" s="119"/>
      <c r="S28" s="117">
        <v>1</v>
      </c>
      <c r="T28" s="117">
        <v>1</v>
      </c>
      <c r="U28" s="117">
        <v>1</v>
      </c>
      <c r="V28" s="117">
        <f t="shared" si="2"/>
        <v>0</v>
      </c>
      <c r="W28" s="123"/>
      <c r="X28" s="123">
        <v>13300</v>
      </c>
      <c r="Y28" s="125">
        <f t="shared" si="3"/>
        <v>13300</v>
      </c>
      <c r="Z28" s="125">
        <f t="shared" si="4"/>
        <v>44016244</v>
      </c>
    </row>
    <row r="29" ht="17.25" customHeight="1" spans="1:26">
      <c r="A29" s="102">
        <v>24</v>
      </c>
      <c r="B29" s="103" t="s">
        <v>578</v>
      </c>
      <c r="C29" s="104" t="s">
        <v>579</v>
      </c>
      <c r="D29" s="103" t="s">
        <v>518</v>
      </c>
      <c r="E29" s="105">
        <v>952.578</v>
      </c>
      <c r="F29" s="106"/>
      <c r="G29" s="107" t="b">
        <v>0</v>
      </c>
      <c r="H29" s="108"/>
      <c r="I29" s="117">
        <v>1</v>
      </c>
      <c r="J29" s="105"/>
      <c r="K29" s="118"/>
      <c r="L29" s="118"/>
      <c r="M29" s="118"/>
      <c r="N29" s="119"/>
      <c r="O29" s="119"/>
      <c r="P29" s="119"/>
      <c r="Q29" s="117">
        <v>1</v>
      </c>
      <c r="R29" s="119"/>
      <c r="S29" s="117">
        <v>1</v>
      </c>
      <c r="T29" s="117">
        <v>1</v>
      </c>
      <c r="U29" s="117">
        <v>1</v>
      </c>
      <c r="V29" s="117">
        <f t="shared" si="2"/>
        <v>0</v>
      </c>
      <c r="W29" s="123"/>
      <c r="X29" s="123">
        <v>13300</v>
      </c>
      <c r="Y29" s="125">
        <f t="shared" si="3"/>
        <v>13300</v>
      </c>
      <c r="Z29" s="125">
        <f t="shared" si="4"/>
        <v>12669287</v>
      </c>
    </row>
    <row r="30" ht="17.25" customHeight="1" spans="1:26">
      <c r="A30" s="102">
        <v>25</v>
      </c>
      <c r="B30" s="103" t="s">
        <v>581</v>
      </c>
      <c r="C30" s="104" t="s">
        <v>582</v>
      </c>
      <c r="D30" s="103" t="s">
        <v>583</v>
      </c>
      <c r="E30" s="105">
        <v>77.1811</v>
      </c>
      <c r="F30" s="106"/>
      <c r="G30" s="107" t="b">
        <v>0</v>
      </c>
      <c r="H30" s="108"/>
      <c r="I30" s="117">
        <v>1</v>
      </c>
      <c r="J30" s="105"/>
      <c r="K30" s="118"/>
      <c r="L30" s="118"/>
      <c r="M30" s="118"/>
      <c r="N30" s="119"/>
      <c r="O30" s="119"/>
      <c r="P30" s="119"/>
      <c r="Q30" s="117">
        <v>1</v>
      </c>
      <c r="R30" s="119"/>
      <c r="S30" s="117">
        <v>1</v>
      </c>
      <c r="T30" s="117">
        <v>1</v>
      </c>
      <c r="U30" s="117">
        <v>1</v>
      </c>
      <c r="V30" s="117">
        <f t="shared" si="2"/>
        <v>0</v>
      </c>
      <c r="W30" s="123"/>
      <c r="X30" s="123">
        <v>200000</v>
      </c>
      <c r="Y30" s="125">
        <f t="shared" si="3"/>
        <v>200000</v>
      </c>
      <c r="Z30" s="125">
        <f t="shared" si="4"/>
        <v>15436220</v>
      </c>
    </row>
    <row r="31" ht="42.75" customHeight="1" spans="1:26">
      <c r="A31" s="102">
        <v>26</v>
      </c>
      <c r="B31" s="103" t="s">
        <v>156</v>
      </c>
      <c r="C31" s="104" t="s">
        <v>585</v>
      </c>
      <c r="D31" s="103" t="s">
        <v>55</v>
      </c>
      <c r="E31" s="105">
        <v>69.0036</v>
      </c>
      <c r="F31" s="106"/>
      <c r="G31" s="107" t="b">
        <v>0</v>
      </c>
      <c r="H31" s="108"/>
      <c r="I31" s="117">
        <v>1</v>
      </c>
      <c r="J31" s="105"/>
      <c r="K31" s="118"/>
      <c r="L31" s="118"/>
      <c r="M31" s="118"/>
      <c r="N31" s="119"/>
      <c r="O31" s="119"/>
      <c r="P31" s="119"/>
      <c r="Q31" s="117">
        <v>1</v>
      </c>
      <c r="R31" s="119"/>
      <c r="S31" s="117">
        <v>1</v>
      </c>
      <c r="T31" s="117">
        <v>1</v>
      </c>
      <c r="U31" s="117">
        <v>1</v>
      </c>
      <c r="V31" s="117">
        <f t="shared" si="2"/>
        <v>0</v>
      </c>
      <c r="W31" s="123"/>
      <c r="X31" s="123">
        <v>1100000</v>
      </c>
      <c r="Y31" s="125">
        <f t="shared" si="3"/>
        <v>1100000</v>
      </c>
      <c r="Z31" s="125">
        <f t="shared" si="4"/>
        <v>75903960</v>
      </c>
    </row>
    <row r="32" ht="17.25" customHeight="1" spans="1:26">
      <c r="A32" s="109">
        <v>27</v>
      </c>
      <c r="B32" s="110" t="s">
        <v>587</v>
      </c>
      <c r="C32" s="111" t="s">
        <v>588</v>
      </c>
      <c r="D32" s="110" t="s">
        <v>518</v>
      </c>
      <c r="E32" s="112">
        <v>1630.9619</v>
      </c>
      <c r="F32" s="113"/>
      <c r="G32" s="114" t="b">
        <v>0</v>
      </c>
      <c r="H32" s="115"/>
      <c r="I32" s="120">
        <v>1</v>
      </c>
      <c r="J32" s="112"/>
      <c r="K32" s="121"/>
      <c r="L32" s="121"/>
      <c r="M32" s="121"/>
      <c r="N32" s="122"/>
      <c r="O32" s="122"/>
      <c r="P32" s="122"/>
      <c r="Q32" s="120">
        <v>1</v>
      </c>
      <c r="R32" s="122"/>
      <c r="S32" s="120">
        <v>1</v>
      </c>
      <c r="T32" s="120">
        <v>1</v>
      </c>
      <c r="U32" s="120">
        <v>1</v>
      </c>
      <c r="V32" s="120">
        <f t="shared" si="2"/>
        <v>0</v>
      </c>
      <c r="W32" s="124"/>
      <c r="X32" s="124">
        <v>1140</v>
      </c>
      <c r="Y32" s="126">
        <f t="shared" si="3"/>
        <v>1140</v>
      </c>
      <c r="Z32" s="126">
        <f t="shared" si="4"/>
        <v>1859297</v>
      </c>
    </row>
  </sheetData>
  <mergeCells count="24">
    <mergeCell ref="A1:Z1"/>
    <mergeCell ref="A2:Z2"/>
    <mergeCell ref="K4:M4"/>
    <mergeCell ref="N4:P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65625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1.22916666666667" right="0" top="0.0416666666666667" bottom="0.208333333333333" header="0.572916666666667" footer="0.40625"/>
  <pageSetup paperSize="9" orientation="portrait" blackAndWhite="1" useFirstPageNumber="1"/>
  <headerFooter alignWithMargins="0"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SheetLayoutView="60" workbookViewId="0">
      <selection activeCell="H17" sqref="H17"/>
    </sheetView>
  </sheetViews>
  <sheetFormatPr defaultColWidth="10" defaultRowHeight="15" customHeight="1" outlineLevelCol="7"/>
  <cols>
    <col min="1" max="1" width="6.66666666666667" customWidth="1"/>
    <col min="2" max="2" width="71.6666666666667" customWidth="1"/>
    <col min="3" max="3" width="13.3333333333333" customWidth="1"/>
    <col min="4" max="4" width="36.6666666666667" customWidth="1"/>
    <col min="5" max="7" width="10" hidden="1" customWidth="1"/>
    <col min="8" max="8" width="25" customWidth="1"/>
  </cols>
  <sheetData>
    <row r="1" ht="26.25" customHeight="1" spans="1:1">
      <c r="A1" s="6" t="s">
        <v>899</v>
      </c>
    </row>
    <row r="2" ht="33" customHeight="1" spans="1:1">
      <c r="A2" s="7" t="s">
        <v>1</v>
      </c>
    </row>
    <row r="3" ht="37.5" customHeight="1" spans="1:1">
      <c r="A3" s="8" t="s">
        <v>2</v>
      </c>
    </row>
    <row r="4" ht="26.25" customHeight="1" spans="1:8">
      <c r="A4" s="42" t="s">
        <v>3</v>
      </c>
      <c r="B4" s="43" t="s">
        <v>900</v>
      </c>
      <c r="C4" s="43" t="s">
        <v>711</v>
      </c>
      <c r="D4" s="43" t="s">
        <v>901</v>
      </c>
      <c r="E4" s="43"/>
      <c r="F4" s="43"/>
      <c r="G4" s="43" t="s">
        <v>9</v>
      </c>
      <c r="H4" s="43" t="s">
        <v>15</v>
      </c>
    </row>
    <row r="5" ht="16.5" customHeight="1" spans="1:8">
      <c r="A5" s="44" t="s">
        <v>902</v>
      </c>
      <c r="B5" s="45" t="s">
        <v>903</v>
      </c>
      <c r="C5" s="46"/>
      <c r="D5" s="47"/>
      <c r="E5" s="48"/>
      <c r="F5" s="48"/>
      <c r="G5" s="49"/>
      <c r="H5" s="50"/>
    </row>
    <row r="6" ht="17.25" customHeight="1" spans="1:8">
      <c r="A6" s="51" t="s">
        <v>904</v>
      </c>
      <c r="B6" s="52" t="s">
        <v>905</v>
      </c>
      <c r="C6" s="53" t="s">
        <v>906</v>
      </c>
      <c r="D6" s="47" t="str">
        <f>C7</f>
        <v>A1</v>
      </c>
      <c r="E6" s="54"/>
      <c r="F6" s="54"/>
      <c r="G6" s="55"/>
      <c r="H6" s="56">
        <f>ROUND(H7,0)</f>
        <v>45707905</v>
      </c>
    </row>
    <row r="7" ht="17.25" customHeight="1" spans="1:8">
      <c r="A7" s="57"/>
      <c r="B7" s="58" t="s">
        <v>907</v>
      </c>
      <c r="C7" s="59" t="s">
        <v>908</v>
      </c>
      <c r="D7" s="47" t="s">
        <v>909</v>
      </c>
      <c r="E7" s="60"/>
      <c r="F7" s="60"/>
      <c r="G7" s="61"/>
      <c r="H7" s="62">
        <v>45707905</v>
      </c>
    </row>
    <row r="8" ht="17.25" customHeight="1" spans="1:8">
      <c r="A8" s="51" t="s">
        <v>910</v>
      </c>
      <c r="B8" s="52" t="s">
        <v>911</v>
      </c>
      <c r="C8" s="53" t="s">
        <v>912</v>
      </c>
      <c r="D8" s="47" t="str">
        <f>C9</f>
        <v>B1</v>
      </c>
      <c r="E8" s="54"/>
      <c r="F8" s="54"/>
      <c r="G8" s="55"/>
      <c r="H8" s="56">
        <f>ROUND(H9,0)</f>
        <v>15447556</v>
      </c>
    </row>
    <row r="9" ht="17.25" customHeight="1" spans="1:8">
      <c r="A9" s="57"/>
      <c r="B9" s="58" t="s">
        <v>907</v>
      </c>
      <c r="C9" s="59" t="s">
        <v>913</v>
      </c>
      <c r="D9" s="47" t="s">
        <v>909</v>
      </c>
      <c r="E9" s="60"/>
      <c r="F9" s="60"/>
      <c r="G9" s="61"/>
      <c r="H9" s="62">
        <v>15447556</v>
      </c>
    </row>
    <row r="10" ht="17.25" customHeight="1" spans="1:8">
      <c r="A10" s="51" t="s">
        <v>914</v>
      </c>
      <c r="B10" s="52" t="s">
        <v>915</v>
      </c>
      <c r="C10" s="53" t="s">
        <v>916</v>
      </c>
      <c r="D10" s="47" t="str">
        <f>C11</f>
        <v>C1</v>
      </c>
      <c r="E10" s="54"/>
      <c r="F10" s="54"/>
      <c r="G10" s="55"/>
      <c r="H10" s="56">
        <f>ROUND(H11,0)</f>
        <v>5416493</v>
      </c>
    </row>
    <row r="11" ht="17.25" customHeight="1" spans="1:8">
      <c r="A11" s="57"/>
      <c r="B11" s="58" t="s">
        <v>907</v>
      </c>
      <c r="C11" s="59" t="s">
        <v>216</v>
      </c>
      <c r="D11" s="47" t="s">
        <v>909</v>
      </c>
      <c r="E11" s="60"/>
      <c r="F11" s="60"/>
      <c r="G11" s="61"/>
      <c r="H11" s="62">
        <v>5416493</v>
      </c>
    </row>
    <row r="12" ht="17.25" customHeight="1" spans="1:8">
      <c r="A12" s="51" t="str">
        <f>""</f>
        <v/>
      </c>
      <c r="B12" s="52" t="s">
        <v>917</v>
      </c>
      <c r="C12" s="53" t="s">
        <v>805</v>
      </c>
      <c r="D12" s="47" t="s">
        <v>918</v>
      </c>
      <c r="E12" s="54"/>
      <c r="F12" s="54"/>
      <c r="G12" s="63"/>
      <c r="H12" s="56">
        <f>ROUND(H6+H8+H10,0)</f>
        <v>66571954</v>
      </c>
    </row>
    <row r="13" ht="17.25" customHeight="1" spans="1:8">
      <c r="A13" s="44" t="s">
        <v>919</v>
      </c>
      <c r="B13" s="45" t="s">
        <v>920</v>
      </c>
      <c r="C13" s="46" t="s">
        <v>807</v>
      </c>
      <c r="D13" s="47" t="s">
        <v>921</v>
      </c>
      <c r="E13" s="48"/>
      <c r="F13" s="48"/>
      <c r="G13" s="64" t="s">
        <v>808</v>
      </c>
      <c r="H13" s="50">
        <v>3794601</v>
      </c>
    </row>
    <row r="14" ht="17.25" customHeight="1" spans="1:8">
      <c r="A14" s="44" t="s">
        <v>922</v>
      </c>
      <c r="B14" s="45" t="s">
        <v>923</v>
      </c>
      <c r="C14" s="46" t="s">
        <v>810</v>
      </c>
      <c r="D14" s="47" t="s">
        <v>924</v>
      </c>
      <c r="E14" s="48"/>
      <c r="F14" s="48"/>
      <c r="G14" s="64" t="s">
        <v>811</v>
      </c>
      <c r="H14" s="50">
        <v>3870161</v>
      </c>
    </row>
    <row r="15" ht="17.25" customHeight="1" spans="1:8">
      <c r="A15" s="65" t="str">
        <f>""</f>
        <v/>
      </c>
      <c r="B15" s="66" t="s">
        <v>925</v>
      </c>
      <c r="C15" s="67" t="s">
        <v>813</v>
      </c>
      <c r="D15" s="47" t="s">
        <v>926</v>
      </c>
      <c r="E15" s="68"/>
      <c r="F15" s="68"/>
      <c r="G15" s="69"/>
      <c r="H15" s="70">
        <f>ROUND(H12+H13+H14,0)</f>
        <v>74236716</v>
      </c>
    </row>
    <row r="16" ht="17.25" customHeight="1" spans="1:8">
      <c r="A16" s="44" t="s">
        <v>927</v>
      </c>
      <c r="B16" s="45" t="s">
        <v>928</v>
      </c>
      <c r="C16" s="46" t="s">
        <v>815</v>
      </c>
      <c r="D16" s="47" t="s">
        <v>929</v>
      </c>
      <c r="E16" s="71">
        <f>G16</f>
        <v>0.1</v>
      </c>
      <c r="F16" s="48"/>
      <c r="G16" s="72">
        <v>0.1</v>
      </c>
      <c r="H16" s="50">
        <f>ROUND(E16*H15,0)</f>
        <v>7423672</v>
      </c>
    </row>
    <row r="17" ht="17.25" customHeight="1" spans="1:8">
      <c r="A17" s="73" t="s">
        <v>930</v>
      </c>
      <c r="B17" s="74" t="s">
        <v>931</v>
      </c>
      <c r="C17" s="75" t="s">
        <v>817</v>
      </c>
      <c r="D17" s="47" t="s">
        <v>932</v>
      </c>
      <c r="E17" s="76"/>
      <c r="F17" s="76"/>
      <c r="G17" s="77"/>
      <c r="H17" s="78">
        <f>ROUND(H15+H16,0)</f>
        <v>81660388</v>
      </c>
    </row>
    <row r="18" ht="17.25" customHeight="1" spans="1:8">
      <c r="A18" s="79"/>
      <c r="B18" s="80" t="s">
        <v>800</v>
      </c>
      <c r="C18" s="80"/>
      <c r="D18" s="81"/>
      <c r="E18" s="82"/>
      <c r="F18" s="82"/>
      <c r="G18" s="83"/>
      <c r="H18" s="84">
        <f>ROUND(H17,-3)</f>
        <v>81660000</v>
      </c>
    </row>
    <row r="19" ht="30" customHeight="1" spans="1:8">
      <c r="A19" s="38" t="s">
        <v>933</v>
      </c>
      <c r="B19" s="85"/>
      <c r="C19" s="86"/>
      <c r="D19" s="87"/>
      <c r="E19" s="88"/>
      <c r="F19" s="88"/>
      <c r="G19" s="89"/>
      <c r="H19" s="90"/>
    </row>
    <row r="20" ht="26.25" customHeight="1" spans="1:4">
      <c r="A20" s="6" t="str">
        <f>A1</f>
        <v>BẢNG TỔNG HỢP DỰ TOÁN CHI PHÍ XÂY DỰNG</v>
      </c>
      <c r="B20" s="91"/>
      <c r="C20" s="91"/>
      <c r="D20" s="91"/>
    </row>
    <row r="21" ht="30" customHeight="1" spans="1:4">
      <c r="A21" s="7" t="s">
        <v>1</v>
      </c>
      <c r="B21" s="91"/>
      <c r="C21" s="91"/>
      <c r="D21" s="91"/>
    </row>
    <row r="22" ht="37.5" customHeight="1" spans="1:4">
      <c r="A22" s="8" t="s">
        <v>209</v>
      </c>
      <c r="B22" s="91"/>
      <c r="C22" s="91"/>
      <c r="D22" s="91"/>
    </row>
    <row r="23" ht="26.25" customHeight="1" spans="1:8">
      <c r="A23" s="42" t="str">
        <f t="shared" ref="A23:H23" si="0">A4</f>
        <v>STT</v>
      </c>
      <c r="B23" s="92" t="str">
        <f t="shared" si="0"/>
        <v>Khoản mục chi phí</v>
      </c>
      <c r="C23" s="92" t="str">
        <f t="shared" si="0"/>
        <v>Ký hiệu</v>
      </c>
      <c r="D23" s="92" t="str">
        <f t="shared" si="0"/>
        <v>Cách tính</v>
      </c>
      <c r="E23" s="43">
        <f t="shared" si="0"/>
        <v>0</v>
      </c>
      <c r="F23" s="43">
        <f t="shared" si="0"/>
        <v>0</v>
      </c>
      <c r="G23" s="43" t="str">
        <f t="shared" si="0"/>
        <v>Hệ số</v>
      </c>
      <c r="H23" s="43" t="str">
        <f t="shared" si="0"/>
        <v>Thành tiền</v>
      </c>
    </row>
    <row r="24" ht="16.5" customHeight="1" spans="1:8">
      <c r="A24" s="44" t="s">
        <v>902</v>
      </c>
      <c r="B24" s="45" t="s">
        <v>903</v>
      </c>
      <c r="C24" s="46"/>
      <c r="D24" s="47"/>
      <c r="E24" s="48"/>
      <c r="F24" s="48"/>
      <c r="G24" s="49"/>
      <c r="H24" s="50"/>
    </row>
    <row r="25" ht="17.25" customHeight="1" spans="1:8">
      <c r="A25" s="51" t="s">
        <v>904</v>
      </c>
      <c r="B25" s="52" t="s">
        <v>905</v>
      </c>
      <c r="C25" s="53" t="s">
        <v>906</v>
      </c>
      <c r="D25" s="47" t="str">
        <f>C26</f>
        <v>A1</v>
      </c>
      <c r="E25" s="54"/>
      <c r="F25" s="54"/>
      <c r="G25" s="55"/>
      <c r="H25" s="56">
        <f>ROUND(H26,0)</f>
        <v>181622105</v>
      </c>
    </row>
    <row r="26" ht="17.25" customHeight="1" spans="1:8">
      <c r="A26" s="57"/>
      <c r="B26" s="58" t="s">
        <v>907</v>
      </c>
      <c r="C26" s="59" t="s">
        <v>908</v>
      </c>
      <c r="D26" s="47" t="s">
        <v>909</v>
      </c>
      <c r="E26" s="60"/>
      <c r="F26" s="60"/>
      <c r="G26" s="61"/>
      <c r="H26" s="62">
        <v>181622105</v>
      </c>
    </row>
    <row r="27" ht="17.25" customHeight="1" spans="1:8">
      <c r="A27" s="51" t="s">
        <v>910</v>
      </c>
      <c r="B27" s="52" t="s">
        <v>911</v>
      </c>
      <c r="C27" s="53" t="s">
        <v>912</v>
      </c>
      <c r="D27" s="47" t="str">
        <f>C28</f>
        <v>B1</v>
      </c>
      <c r="E27" s="54"/>
      <c r="F27" s="54"/>
      <c r="G27" s="55"/>
      <c r="H27" s="56">
        <f>ROUND(H28,0)</f>
        <v>94050822</v>
      </c>
    </row>
    <row r="28" ht="17.25" customHeight="1" spans="1:8">
      <c r="A28" s="57"/>
      <c r="B28" s="58" t="s">
        <v>907</v>
      </c>
      <c r="C28" s="59" t="s">
        <v>913</v>
      </c>
      <c r="D28" s="47" t="s">
        <v>909</v>
      </c>
      <c r="E28" s="60"/>
      <c r="F28" s="60"/>
      <c r="G28" s="61"/>
      <c r="H28" s="62">
        <v>94050822</v>
      </c>
    </row>
    <row r="29" ht="17.25" customHeight="1" spans="1:8">
      <c r="A29" s="51" t="s">
        <v>914</v>
      </c>
      <c r="B29" s="52" t="s">
        <v>915</v>
      </c>
      <c r="C29" s="53" t="s">
        <v>916</v>
      </c>
      <c r="D29" s="47" t="str">
        <f>C30</f>
        <v>C1</v>
      </c>
      <c r="E29" s="54"/>
      <c r="F29" s="54"/>
      <c r="G29" s="55"/>
      <c r="H29" s="56">
        <f>ROUND(H30,0)</f>
        <v>18002122</v>
      </c>
    </row>
    <row r="30" ht="17.25" customHeight="1" spans="1:8">
      <c r="A30" s="57"/>
      <c r="B30" s="58" t="s">
        <v>907</v>
      </c>
      <c r="C30" s="59" t="s">
        <v>216</v>
      </c>
      <c r="D30" s="47" t="s">
        <v>909</v>
      </c>
      <c r="E30" s="60"/>
      <c r="F30" s="60"/>
      <c r="G30" s="61"/>
      <c r="H30" s="62">
        <v>18002122</v>
      </c>
    </row>
    <row r="31" ht="17.25" customHeight="1" spans="1:8">
      <c r="A31" s="51" t="str">
        <f>""</f>
        <v/>
      </c>
      <c r="B31" s="52" t="s">
        <v>917</v>
      </c>
      <c r="C31" s="53" t="s">
        <v>805</v>
      </c>
      <c r="D31" s="47" t="s">
        <v>918</v>
      </c>
      <c r="E31" s="54"/>
      <c r="F31" s="54"/>
      <c r="G31" s="63"/>
      <c r="H31" s="56">
        <f>ROUND(H25+H27+H29,0)</f>
        <v>293675049</v>
      </c>
    </row>
    <row r="32" ht="17.25" customHeight="1" spans="1:8">
      <c r="A32" s="44" t="s">
        <v>919</v>
      </c>
      <c r="B32" s="45" t="s">
        <v>920</v>
      </c>
      <c r="C32" s="46" t="s">
        <v>807</v>
      </c>
      <c r="D32" s="47" t="s">
        <v>921</v>
      </c>
      <c r="E32" s="48"/>
      <c r="F32" s="48"/>
      <c r="G32" s="64" t="s">
        <v>808</v>
      </c>
      <c r="H32" s="50">
        <v>16739478</v>
      </c>
    </row>
    <row r="33" ht="17.25" customHeight="1" spans="1:8">
      <c r="A33" s="44" t="s">
        <v>922</v>
      </c>
      <c r="B33" s="45" t="s">
        <v>923</v>
      </c>
      <c r="C33" s="46" t="s">
        <v>810</v>
      </c>
      <c r="D33" s="47" t="s">
        <v>924</v>
      </c>
      <c r="E33" s="48"/>
      <c r="F33" s="48"/>
      <c r="G33" s="64" t="s">
        <v>811</v>
      </c>
      <c r="H33" s="50">
        <v>17072799</v>
      </c>
    </row>
    <row r="34" ht="17.25" customHeight="1" spans="1:8">
      <c r="A34" s="65" t="str">
        <f>""</f>
        <v/>
      </c>
      <c r="B34" s="66" t="s">
        <v>925</v>
      </c>
      <c r="C34" s="67" t="s">
        <v>813</v>
      </c>
      <c r="D34" s="47" t="s">
        <v>926</v>
      </c>
      <c r="E34" s="68"/>
      <c r="F34" s="68"/>
      <c r="G34" s="69"/>
      <c r="H34" s="70">
        <f>ROUND(H31+H32+H33,0)</f>
        <v>327487326</v>
      </c>
    </row>
    <row r="35" ht="17.25" customHeight="1" spans="1:8">
      <c r="A35" s="44" t="s">
        <v>927</v>
      </c>
      <c r="B35" s="45" t="s">
        <v>928</v>
      </c>
      <c r="C35" s="46" t="s">
        <v>815</v>
      </c>
      <c r="D35" s="47" t="s">
        <v>929</v>
      </c>
      <c r="E35" s="71">
        <f>G35</f>
        <v>0.1</v>
      </c>
      <c r="F35" s="48"/>
      <c r="G35" s="72">
        <v>0.1</v>
      </c>
      <c r="H35" s="50">
        <f>ROUND(E35*H34,0)</f>
        <v>32748733</v>
      </c>
    </row>
    <row r="36" ht="17.25" customHeight="1" spans="1:8">
      <c r="A36" s="73" t="s">
        <v>930</v>
      </c>
      <c r="B36" s="74" t="s">
        <v>931</v>
      </c>
      <c r="C36" s="75" t="s">
        <v>817</v>
      </c>
      <c r="D36" s="47" t="s">
        <v>932</v>
      </c>
      <c r="E36" s="76"/>
      <c r="F36" s="76"/>
      <c r="G36" s="77"/>
      <c r="H36" s="78">
        <f>ROUND(H34+H35,0)</f>
        <v>360236059</v>
      </c>
    </row>
    <row r="37" ht="17.25" customHeight="1" spans="1:8">
      <c r="A37" s="79"/>
      <c r="B37" s="80" t="s">
        <v>800</v>
      </c>
      <c r="C37" s="80"/>
      <c r="D37" s="81"/>
      <c r="E37" s="82"/>
      <c r="F37" s="82"/>
      <c r="G37" s="83"/>
      <c r="H37" s="84">
        <f>ROUND(H36,-3)</f>
        <v>360236000</v>
      </c>
    </row>
    <row r="38" ht="30" customHeight="1" spans="1:8">
      <c r="A38" s="38" t="s">
        <v>934</v>
      </c>
      <c r="B38" s="85"/>
      <c r="C38" s="86"/>
      <c r="D38" s="87"/>
      <c r="E38" s="88"/>
      <c r="F38" s="88"/>
      <c r="G38" s="89"/>
      <c r="H38" s="90"/>
    </row>
  </sheetData>
  <mergeCells count="8">
    <mergeCell ref="A1:H1"/>
    <mergeCell ref="A2:H2"/>
    <mergeCell ref="A3:H3"/>
    <mergeCell ref="A19:H19"/>
    <mergeCell ref="A20:H20"/>
    <mergeCell ref="A21:H21"/>
    <mergeCell ref="A22:H22"/>
    <mergeCell ref="A38:H38"/>
  </mergeCells>
  <pageMargins left="1.22916666666667" right="0" top="0.0416666666666667" bottom="0.208333333333333" header="0.572916666666667" footer="0.40625"/>
  <pageSetup paperSize="9" orientation="landscape" blackAndWhite="1" useFirstPageNumber="1" horizontalDpi="600" verticalDpi="600"/>
  <headerFooter alignWithMargins="0">
    <oddFooter>&amp;C&amp;P</oddFooter>
  </headerFooter>
  <rowBreaks count="1" manualBreakCount="1">
    <brk id="19" max="255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zoomScaleSheetLayoutView="60" workbookViewId="0">
      <selection activeCell="A1" sqref="A1:I1"/>
    </sheetView>
  </sheetViews>
  <sheetFormatPr defaultColWidth="10" defaultRowHeight="15" customHeight="1"/>
  <cols>
    <col min="1" max="1" width="10" style="17" customWidth="1"/>
    <col min="2" max="2" width="50" style="17" customWidth="1"/>
    <col min="3" max="3" width="11.6666666666667" style="17" customWidth="1"/>
    <col min="4" max="5" width="15" style="14" customWidth="1"/>
    <col min="6" max="6" width="18.3333333333333" style="14" customWidth="1"/>
    <col min="7" max="7" width="10" style="14" customWidth="1"/>
    <col min="8" max="8" width="16.6666666666667" style="14" customWidth="1"/>
    <col min="9" max="9" width="18.3333333333333" style="14" customWidth="1"/>
    <col min="10" max="16384" width="10" style="14"/>
  </cols>
  <sheetData>
    <row r="1" ht="26.25" customHeight="1" spans="1:1">
      <c r="A1" s="18" t="s">
        <v>935</v>
      </c>
    </row>
    <row r="2" ht="33" customHeight="1" spans="1:1">
      <c r="A2" s="7" t="s">
        <v>1</v>
      </c>
    </row>
    <row r="4" ht="18.75" customHeight="1" spans="1:9">
      <c r="A4" s="19" t="s">
        <v>3</v>
      </c>
      <c r="B4" s="20" t="s">
        <v>497</v>
      </c>
      <c r="C4" s="20" t="s">
        <v>6</v>
      </c>
      <c r="D4" s="20" t="s">
        <v>936</v>
      </c>
      <c r="E4" s="20" t="s">
        <v>937</v>
      </c>
      <c r="F4" s="20" t="s">
        <v>938</v>
      </c>
      <c r="G4" s="21" t="s">
        <v>939</v>
      </c>
      <c r="H4" s="22"/>
      <c r="I4" s="20" t="s">
        <v>940</v>
      </c>
    </row>
    <row r="5" ht="18.75" customHeight="1" spans="1:9">
      <c r="A5" s="23" t="s">
        <v>520</v>
      </c>
      <c r="B5" s="24"/>
      <c r="C5" s="24"/>
      <c r="D5" s="25"/>
      <c r="E5" s="25"/>
      <c r="F5" s="25"/>
      <c r="G5" s="25" t="s">
        <v>792</v>
      </c>
      <c r="H5" s="25" t="s">
        <v>15</v>
      </c>
      <c r="I5" s="25"/>
    </row>
    <row r="6" ht="17.25" customHeight="1" spans="1:9">
      <c r="A6" s="26" t="s">
        <v>904</v>
      </c>
      <c r="B6" s="27" t="s">
        <v>941</v>
      </c>
      <c r="C6" s="28"/>
      <c r="D6" s="29"/>
      <c r="E6" s="30"/>
      <c r="F6" s="30">
        <f t="shared" ref="F6:F19" si="0">ROUND(D6*E6,1)</f>
        <v>0</v>
      </c>
      <c r="G6" s="31"/>
      <c r="H6" s="30">
        <f t="shared" ref="H6:H19" si="1">ROUND(F6*G6/100,1)</f>
        <v>0</v>
      </c>
      <c r="I6" s="30">
        <f t="shared" ref="I6:I19" si="2">ROUND(F6+H6,1)</f>
        <v>0</v>
      </c>
    </row>
    <row r="7" ht="17.25" customHeight="1" spans="1:9">
      <c r="A7" s="26" t="s">
        <v>910</v>
      </c>
      <c r="B7" s="27" t="s">
        <v>942</v>
      </c>
      <c r="C7" s="28"/>
      <c r="D7" s="29"/>
      <c r="E7" s="30"/>
      <c r="F7" s="30">
        <f t="shared" si="0"/>
        <v>0</v>
      </c>
      <c r="G7" s="31"/>
      <c r="H7" s="30">
        <f t="shared" si="1"/>
        <v>0</v>
      </c>
      <c r="I7" s="30">
        <f t="shared" si="2"/>
        <v>0</v>
      </c>
    </row>
    <row r="8" ht="17.25" customHeight="1" spans="1:9">
      <c r="A8" s="26" t="s">
        <v>914</v>
      </c>
      <c r="B8" s="27" t="s">
        <v>943</v>
      </c>
      <c r="C8" s="28"/>
      <c r="D8" s="29"/>
      <c r="E8" s="30"/>
      <c r="F8" s="30">
        <f t="shared" si="0"/>
        <v>0</v>
      </c>
      <c r="G8" s="31"/>
      <c r="H8" s="30">
        <f t="shared" si="1"/>
        <v>0</v>
      </c>
      <c r="I8" s="30">
        <f t="shared" si="2"/>
        <v>0</v>
      </c>
    </row>
    <row r="9" ht="16.5" customHeight="1" spans="1:9">
      <c r="A9" s="26" t="s">
        <v>520</v>
      </c>
      <c r="B9" s="27"/>
      <c r="C9" s="28"/>
      <c r="D9" s="29"/>
      <c r="E9" s="30"/>
      <c r="F9" s="30">
        <f t="shared" si="0"/>
        <v>0</v>
      </c>
      <c r="G9" s="31"/>
      <c r="H9" s="30">
        <f t="shared" si="1"/>
        <v>0</v>
      </c>
      <c r="I9" s="30">
        <f t="shared" si="2"/>
        <v>0</v>
      </c>
    </row>
    <row r="10" ht="16.5" customHeight="1" spans="1:9">
      <c r="A10" s="26" t="s">
        <v>520</v>
      </c>
      <c r="B10" s="27"/>
      <c r="C10" s="28"/>
      <c r="D10" s="29"/>
      <c r="E10" s="30"/>
      <c r="F10" s="30">
        <f t="shared" si="0"/>
        <v>0</v>
      </c>
      <c r="G10" s="31"/>
      <c r="H10" s="30">
        <f t="shared" si="1"/>
        <v>0</v>
      </c>
      <c r="I10" s="30">
        <f t="shared" si="2"/>
        <v>0</v>
      </c>
    </row>
    <row r="11" ht="16.5" customHeight="1" spans="1:9">
      <c r="A11" s="26" t="s">
        <v>520</v>
      </c>
      <c r="B11" s="27"/>
      <c r="C11" s="28"/>
      <c r="D11" s="29"/>
      <c r="E11" s="30"/>
      <c r="F11" s="30">
        <f t="shared" si="0"/>
        <v>0</v>
      </c>
      <c r="G11" s="31"/>
      <c r="H11" s="30">
        <f t="shared" si="1"/>
        <v>0</v>
      </c>
      <c r="I11" s="30">
        <f t="shared" si="2"/>
        <v>0</v>
      </c>
    </row>
    <row r="12" ht="16.5" customHeight="1" spans="1:9">
      <c r="A12" s="26" t="s">
        <v>520</v>
      </c>
      <c r="B12" s="27"/>
      <c r="C12" s="28"/>
      <c r="D12" s="29"/>
      <c r="E12" s="30"/>
      <c r="F12" s="30">
        <f t="shared" si="0"/>
        <v>0</v>
      </c>
      <c r="G12" s="31"/>
      <c r="H12" s="30">
        <f t="shared" si="1"/>
        <v>0</v>
      </c>
      <c r="I12" s="30">
        <f t="shared" si="2"/>
        <v>0</v>
      </c>
    </row>
    <row r="13" ht="16.5" customHeight="1" spans="1:9">
      <c r="A13" s="26" t="s">
        <v>520</v>
      </c>
      <c r="B13" s="27"/>
      <c r="C13" s="28"/>
      <c r="D13" s="29"/>
      <c r="E13" s="30"/>
      <c r="F13" s="30">
        <f t="shared" si="0"/>
        <v>0</v>
      </c>
      <c r="G13" s="31"/>
      <c r="H13" s="30">
        <f t="shared" si="1"/>
        <v>0</v>
      </c>
      <c r="I13" s="30">
        <f t="shared" si="2"/>
        <v>0</v>
      </c>
    </row>
    <row r="14" ht="16.5" customHeight="1" spans="1:9">
      <c r="A14" s="26" t="s">
        <v>520</v>
      </c>
      <c r="B14" s="27"/>
      <c r="C14" s="28"/>
      <c r="D14" s="29"/>
      <c r="E14" s="30"/>
      <c r="F14" s="30">
        <f t="shared" si="0"/>
        <v>0</v>
      </c>
      <c r="G14" s="31"/>
      <c r="H14" s="30">
        <f t="shared" si="1"/>
        <v>0</v>
      </c>
      <c r="I14" s="30">
        <f t="shared" si="2"/>
        <v>0</v>
      </c>
    </row>
    <row r="15" ht="16.5" customHeight="1" spans="1:9">
      <c r="A15" s="26" t="s">
        <v>520</v>
      </c>
      <c r="B15" s="27"/>
      <c r="C15" s="28"/>
      <c r="D15" s="29"/>
      <c r="E15" s="30"/>
      <c r="F15" s="30">
        <f t="shared" si="0"/>
        <v>0</v>
      </c>
      <c r="G15" s="31"/>
      <c r="H15" s="30">
        <f t="shared" si="1"/>
        <v>0</v>
      </c>
      <c r="I15" s="30">
        <f t="shared" si="2"/>
        <v>0</v>
      </c>
    </row>
    <row r="16" ht="16.5" customHeight="1" spans="1:9">
      <c r="A16" s="26" t="s">
        <v>520</v>
      </c>
      <c r="B16" s="27"/>
      <c r="C16" s="28"/>
      <c r="D16" s="29"/>
      <c r="E16" s="30"/>
      <c r="F16" s="30">
        <f t="shared" si="0"/>
        <v>0</v>
      </c>
      <c r="G16" s="31"/>
      <c r="H16" s="30">
        <f t="shared" si="1"/>
        <v>0</v>
      </c>
      <c r="I16" s="30">
        <f t="shared" si="2"/>
        <v>0</v>
      </c>
    </row>
    <row r="17" ht="16.5" customHeight="1" spans="1:9">
      <c r="A17" s="26" t="s">
        <v>520</v>
      </c>
      <c r="B17" s="27"/>
      <c r="C17" s="28"/>
      <c r="D17" s="29"/>
      <c r="E17" s="30"/>
      <c r="F17" s="30">
        <f t="shared" si="0"/>
        <v>0</v>
      </c>
      <c r="G17" s="31"/>
      <c r="H17" s="30">
        <f t="shared" si="1"/>
        <v>0</v>
      </c>
      <c r="I17" s="30">
        <f t="shared" si="2"/>
        <v>0</v>
      </c>
    </row>
    <row r="18" ht="16.5" customHeight="1" spans="1:9">
      <c r="A18" s="26" t="s">
        <v>520</v>
      </c>
      <c r="B18" s="27"/>
      <c r="C18" s="28"/>
      <c r="D18" s="29"/>
      <c r="E18" s="30"/>
      <c r="F18" s="30">
        <f t="shared" si="0"/>
        <v>0</v>
      </c>
      <c r="G18" s="31"/>
      <c r="H18" s="30">
        <f t="shared" si="1"/>
        <v>0</v>
      </c>
      <c r="I18" s="30">
        <f t="shared" si="2"/>
        <v>0</v>
      </c>
    </row>
    <row r="19" ht="16.5" customHeight="1" spans="1:9">
      <c r="A19" s="26" t="s">
        <v>520</v>
      </c>
      <c r="B19" s="27"/>
      <c r="C19" s="28"/>
      <c r="D19" s="29"/>
      <c r="E19" s="30"/>
      <c r="F19" s="30">
        <f t="shared" si="0"/>
        <v>0</v>
      </c>
      <c r="G19" s="31"/>
      <c r="H19" s="30">
        <f t="shared" si="1"/>
        <v>0</v>
      </c>
      <c r="I19" s="30">
        <f t="shared" si="2"/>
        <v>0</v>
      </c>
    </row>
    <row r="20" ht="16.5" customHeight="1" spans="1:9">
      <c r="A20" s="32" t="s">
        <v>520</v>
      </c>
      <c r="B20" s="33" t="s">
        <v>944</v>
      </c>
      <c r="C20" s="34"/>
      <c r="D20" s="35"/>
      <c r="E20" s="36"/>
      <c r="F20" s="36">
        <f>ROUND(SUM(F6:F19),0)</f>
        <v>0</v>
      </c>
      <c r="G20" s="37"/>
      <c r="H20" s="36">
        <f>ROUND(SUM(H6:H19),0)</f>
        <v>0</v>
      </c>
      <c r="I20" s="36">
        <f>ROUND(SUM(I6:I19),0)</f>
        <v>0</v>
      </c>
    </row>
    <row r="21" ht="30" customHeight="1" spans="1:9">
      <c r="A21" s="38" t="s">
        <v>945</v>
      </c>
      <c r="B21" s="39"/>
      <c r="C21" s="39"/>
      <c r="D21" s="40"/>
      <c r="E21" s="40"/>
      <c r="F21" s="40"/>
      <c r="G21" s="40"/>
      <c r="H21" s="40"/>
      <c r="I21" s="41"/>
    </row>
  </sheetData>
  <mergeCells count="11">
    <mergeCell ref="A1:I1"/>
    <mergeCell ref="A2:I2"/>
    <mergeCell ref="G4:H4"/>
    <mergeCell ref="A21:I21"/>
    <mergeCell ref="A4:A5"/>
    <mergeCell ref="B4:B5"/>
    <mergeCell ref="C4:C5"/>
    <mergeCell ref="D4:D5"/>
    <mergeCell ref="E4:E5"/>
    <mergeCell ref="F4:F5"/>
    <mergeCell ref="I4:I5"/>
  </mergeCells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cols>
    <col min="1" max="16384" width="10" style="14"/>
  </cols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zoomScaleSheetLayoutView="60" workbookViewId="0">
      <selection activeCell="A1" sqref="A1:R1"/>
    </sheetView>
  </sheetViews>
  <sheetFormatPr defaultColWidth="10" defaultRowHeight="15" customHeight="1"/>
  <cols>
    <col min="1" max="1" width="5.33333333333333" customWidth="1"/>
    <col min="2" max="2" width="10.5" customWidth="1"/>
    <col min="3" max="3" width="30.8333333333333" customWidth="1"/>
    <col min="4" max="4" width="9.33333333333333" customWidth="1"/>
    <col min="5" max="5" width="14" customWidth="1"/>
    <col min="6" max="6" width="11.3333333333333" customWidth="1"/>
    <col min="7" max="7" width="7.66666666666667" customWidth="1"/>
    <col min="8" max="10" width="11.3333333333333" customWidth="1"/>
    <col min="11" max="11" width="14.3333333333333" customWidth="1"/>
    <col min="12" max="12" width="7.66666666666667" customWidth="1"/>
    <col min="13" max="15" width="14.3333333333333" customWidth="1"/>
    <col min="16" max="18" width="7.83333333333333" customWidth="1"/>
  </cols>
  <sheetData>
    <row r="1" ht="26.25" customHeight="1" spans="1:1">
      <c r="A1" s="6" t="s">
        <v>0</v>
      </c>
    </row>
    <row r="2" ht="30" customHeight="1" spans="1:1">
      <c r="A2" s="7" t="s">
        <v>1</v>
      </c>
    </row>
    <row r="3" ht="37.5" customHeight="1" spans="1:1">
      <c r="A3" s="8" t="s">
        <v>2</v>
      </c>
    </row>
    <row r="4" ht="18.75" customHeight="1" spans="1:18">
      <c r="A4" s="15" t="s">
        <v>946</v>
      </c>
      <c r="B4" s="15" t="s">
        <v>4</v>
      </c>
      <c r="C4" s="15" t="s">
        <v>796</v>
      </c>
      <c r="D4" s="15" t="s">
        <v>6</v>
      </c>
      <c r="E4" s="15" t="s">
        <v>13</v>
      </c>
      <c r="F4" s="15" t="s">
        <v>14</v>
      </c>
      <c r="G4" s="15"/>
      <c r="H4" s="15"/>
      <c r="I4" s="15"/>
      <c r="J4" s="15"/>
      <c r="K4" s="15" t="s">
        <v>15</v>
      </c>
      <c r="L4" s="15"/>
      <c r="M4" s="15"/>
      <c r="N4" s="15"/>
      <c r="O4" s="15"/>
      <c r="P4" s="15" t="s">
        <v>16</v>
      </c>
      <c r="Q4" s="15"/>
      <c r="R4" s="15"/>
    </row>
    <row r="5" ht="18.75" customHeight="1" spans="1:18">
      <c r="A5" s="15"/>
      <c r="B5" s="15" t="s">
        <v>14</v>
      </c>
      <c r="C5" s="15"/>
      <c r="D5" s="15"/>
      <c r="E5" s="15"/>
      <c r="F5" s="15" t="s">
        <v>31</v>
      </c>
      <c r="G5" s="15" t="s">
        <v>947</v>
      </c>
      <c r="H5" s="15" t="s">
        <v>948</v>
      </c>
      <c r="I5" s="15" t="s">
        <v>949</v>
      </c>
      <c r="J5" s="15" t="s">
        <v>950</v>
      </c>
      <c r="K5" s="15" t="s">
        <v>31</v>
      </c>
      <c r="L5" s="15" t="s">
        <v>947</v>
      </c>
      <c r="M5" s="15" t="s">
        <v>948</v>
      </c>
      <c r="N5" s="15" t="s">
        <v>949</v>
      </c>
      <c r="O5" s="15" t="s">
        <v>950</v>
      </c>
      <c r="P5" s="15" t="s">
        <v>36</v>
      </c>
      <c r="Q5" s="15" t="s">
        <v>37</v>
      </c>
      <c r="R5" s="15" t="s">
        <v>38</v>
      </c>
    </row>
    <row r="6" ht="26.25" customHeight="1" spans="1:4">
      <c r="A6" s="6" t="str">
        <f>A1</f>
        <v>BẢNG DỰ TOÁN HẠNG MỤC CÔNG TRÌNH</v>
      </c>
      <c r="B6" s="2"/>
      <c r="D6" s="2"/>
    </row>
    <row r="7" ht="30" customHeight="1" spans="1:4">
      <c r="A7" s="7" t="s">
        <v>1</v>
      </c>
      <c r="B7" s="2"/>
      <c r="D7" s="2"/>
    </row>
    <row r="8" ht="37.5" customHeight="1" spans="1:4">
      <c r="A8" s="8" t="s">
        <v>209</v>
      </c>
      <c r="B8" s="2"/>
      <c r="D8" s="2"/>
    </row>
    <row r="9" ht="18.75" customHeight="1" spans="1:18">
      <c r="A9" s="15" t="str">
        <f t="shared" ref="A9:R9" si="0">A4</f>
        <v>TT</v>
      </c>
      <c r="B9" s="15" t="str">
        <f t="shared" si="0"/>
        <v>Mã số</v>
      </c>
      <c r="C9" s="15" t="str">
        <f t="shared" si="0"/>
        <v>Tên công tác</v>
      </c>
      <c r="D9" s="15" t="str">
        <f t="shared" si="0"/>
        <v>Đơn vị</v>
      </c>
      <c r="E9" s="15" t="str">
        <f t="shared" si="0"/>
        <v>Khối lượng</v>
      </c>
      <c r="F9" s="15" t="str">
        <f t="shared" si="0"/>
        <v>Đơn giá</v>
      </c>
      <c r="G9" s="15">
        <f t="shared" si="0"/>
        <v>0</v>
      </c>
      <c r="H9" s="15">
        <f t="shared" si="0"/>
        <v>0</v>
      </c>
      <c r="I9" s="15">
        <f t="shared" si="0"/>
        <v>0</v>
      </c>
      <c r="J9" s="15">
        <f t="shared" si="0"/>
        <v>0</v>
      </c>
      <c r="K9" s="15" t="str">
        <f t="shared" si="0"/>
        <v>Thành tiền</v>
      </c>
      <c r="L9" s="15">
        <f t="shared" si="0"/>
        <v>0</v>
      </c>
      <c r="M9" s="15">
        <f t="shared" si="0"/>
        <v>0</v>
      </c>
      <c r="N9" s="15">
        <f t="shared" si="0"/>
        <v>0</v>
      </c>
      <c r="O9" s="15">
        <f t="shared" si="0"/>
        <v>0</v>
      </c>
      <c r="P9" s="15" t="str">
        <f t="shared" si="0"/>
        <v>Hệ số điều chỉnh</v>
      </c>
      <c r="Q9" s="15">
        <f t="shared" si="0"/>
        <v>0</v>
      </c>
      <c r="R9" s="15">
        <f t="shared" si="0"/>
        <v>0</v>
      </c>
    </row>
    <row r="10" ht="18.75" customHeight="1" spans="1:18">
      <c r="A10" s="15">
        <f t="shared" ref="A10:R10" si="1">A5</f>
        <v>0</v>
      </c>
      <c r="B10" s="15" t="str">
        <f t="shared" si="1"/>
        <v>Đơn giá</v>
      </c>
      <c r="C10" s="15">
        <f t="shared" si="1"/>
        <v>0</v>
      </c>
      <c r="D10" s="15">
        <f t="shared" si="1"/>
        <v>0</v>
      </c>
      <c r="E10" s="15">
        <f t="shared" si="1"/>
        <v>0</v>
      </c>
      <c r="F10" s="15" t="str">
        <f t="shared" si="1"/>
        <v>Vật liệu</v>
      </c>
      <c r="G10" s="15" t="str">
        <f t="shared" si="1"/>
        <v>Bù VL</v>
      </c>
      <c r="H10" s="15" t="str">
        <f t="shared" si="1"/>
        <v>NC XL</v>
      </c>
      <c r="I10" s="15" t="str">
        <f t="shared" si="1"/>
        <v>NC đất</v>
      </c>
      <c r="J10" s="15" t="str">
        <f t="shared" si="1"/>
        <v>Ca máy</v>
      </c>
      <c r="K10" s="15" t="str">
        <f t="shared" si="1"/>
        <v>Vật liệu</v>
      </c>
      <c r="L10" s="15" t="str">
        <f t="shared" si="1"/>
        <v>Bù VL</v>
      </c>
      <c r="M10" s="15" t="str">
        <f t="shared" si="1"/>
        <v>NC XL</v>
      </c>
      <c r="N10" s="15" t="str">
        <f t="shared" si="1"/>
        <v>NC đất</v>
      </c>
      <c r="O10" s="15" t="str">
        <f t="shared" si="1"/>
        <v>Ca máy</v>
      </c>
      <c r="P10" s="15" t="str">
        <f t="shared" si="1"/>
        <v>V.L</v>
      </c>
      <c r="Q10" s="15" t="str">
        <f t="shared" si="1"/>
        <v>N.C</v>
      </c>
      <c r="R10" s="15" t="str">
        <f t="shared" si="1"/>
        <v>Máy</v>
      </c>
    </row>
  </sheetData>
  <mergeCells count="20">
    <mergeCell ref="A1:R1"/>
    <mergeCell ref="A2:R2"/>
    <mergeCell ref="A3:R3"/>
    <mergeCell ref="F4:J4"/>
    <mergeCell ref="K4:O4"/>
    <mergeCell ref="P4:R4"/>
    <mergeCell ref="A6:R6"/>
    <mergeCell ref="A7:R7"/>
    <mergeCell ref="A8:R8"/>
    <mergeCell ref="F9:J9"/>
    <mergeCell ref="K9:O9"/>
    <mergeCell ref="P9:R9"/>
    <mergeCell ref="A4:A5"/>
    <mergeCell ref="A9:A10"/>
    <mergeCell ref="C4:C5"/>
    <mergeCell ref="C9:C10"/>
    <mergeCell ref="D4:D5"/>
    <mergeCell ref="D9:D10"/>
    <mergeCell ref="E4:E5"/>
    <mergeCell ref="E9:E10"/>
  </mergeCells>
  <pageMargins left="1.22916666666667" right="0" top="0.822916666666667" bottom="0.208333333333333" header="0" footer="0.40625"/>
  <pageSetup paperSize="9" orientation="landscape" blackAndWhite="1" useFirstPageNumber="1"/>
  <headerFooter alignWithMargins="0">
    <oddFooter>&amp;C&amp;P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zoomScaleSheetLayoutView="60" workbookViewId="0">
      <selection activeCell="A1" sqref="A1:H1"/>
    </sheetView>
  </sheetViews>
  <sheetFormatPr defaultColWidth="10" defaultRowHeight="15" customHeight="1" outlineLevelRow="7" outlineLevelCol="7"/>
  <cols>
    <col min="1" max="1" width="6.66666666666667" customWidth="1"/>
    <col min="2" max="2" width="50" customWidth="1"/>
    <col min="3" max="3" width="11.6666666666667" customWidth="1"/>
    <col min="4" max="4" width="28.3333333333333" customWidth="1"/>
    <col min="5" max="6" width="10" hidden="1" customWidth="1"/>
    <col min="7" max="7" width="10" customWidth="1"/>
    <col min="8" max="8" width="22.5" customWidth="1"/>
  </cols>
  <sheetData>
    <row r="1" ht="26.25" customHeight="1" spans="1:1">
      <c r="A1" s="6" t="s">
        <v>951</v>
      </c>
    </row>
    <row r="2" ht="30" customHeight="1" spans="1:1">
      <c r="A2" s="7" t="s">
        <v>1</v>
      </c>
    </row>
    <row r="3" ht="37.5" customHeight="1" spans="1:1">
      <c r="A3" s="8" t="s">
        <v>2</v>
      </c>
    </row>
    <row r="4" ht="26.25" customHeight="1" spans="1:8">
      <c r="A4" s="15" t="s">
        <v>3</v>
      </c>
      <c r="B4" s="15" t="s">
        <v>900</v>
      </c>
      <c r="C4" s="15" t="s">
        <v>711</v>
      </c>
      <c r="D4" s="15" t="s">
        <v>901</v>
      </c>
      <c r="E4" s="15"/>
      <c r="F4" s="15"/>
      <c r="G4" s="15" t="s">
        <v>9</v>
      </c>
      <c r="H4" s="15" t="s">
        <v>15</v>
      </c>
    </row>
    <row r="5" ht="26.25" customHeight="1" spans="1:7">
      <c r="A5" s="6" t="str">
        <f>A1</f>
        <v>BẢNG HỆ SỐ CHI PHÍ XÂY DỰNG</v>
      </c>
      <c r="C5" s="2"/>
      <c r="D5" s="2"/>
      <c r="G5" s="2"/>
    </row>
    <row r="6" ht="30" customHeight="1" spans="1:7">
      <c r="A6" s="7" t="s">
        <v>1</v>
      </c>
      <c r="C6" s="2"/>
      <c r="D6" s="2"/>
      <c r="G6" s="2"/>
    </row>
    <row r="7" ht="37.5" customHeight="1" spans="1:7">
      <c r="A7" s="8" t="s">
        <v>209</v>
      </c>
      <c r="C7" s="2"/>
      <c r="D7" s="2"/>
      <c r="G7" s="2"/>
    </row>
    <row r="8" ht="26.25" customHeight="1" spans="1:8">
      <c r="A8" s="15" t="str">
        <f t="shared" ref="A8:H8" si="0">A4</f>
        <v>STT</v>
      </c>
      <c r="B8" s="15" t="str">
        <f t="shared" si="0"/>
        <v>Khoản mục chi phí</v>
      </c>
      <c r="C8" s="15" t="str">
        <f t="shared" si="0"/>
        <v>Ký hiệu</v>
      </c>
      <c r="D8" s="15" t="str">
        <f t="shared" si="0"/>
        <v>Cách tính</v>
      </c>
      <c r="E8" s="15">
        <f t="shared" si="0"/>
        <v>0</v>
      </c>
      <c r="F8" s="15">
        <f t="shared" si="0"/>
        <v>0</v>
      </c>
      <c r="G8" s="15" t="str">
        <f t="shared" si="0"/>
        <v>Hệ số</v>
      </c>
      <c r="H8" s="15" t="str">
        <f t="shared" si="0"/>
        <v>Thành tiền</v>
      </c>
    </row>
  </sheetData>
  <mergeCells count="6">
    <mergeCell ref="A1:H1"/>
    <mergeCell ref="A2:H2"/>
    <mergeCell ref="A3:H3"/>
    <mergeCell ref="A5:H5"/>
    <mergeCell ref="A6:H6"/>
    <mergeCell ref="A7:H7"/>
  </mergeCells>
  <pageMargins left="1.22916666666667" right="0" top="0.822916666666667" bottom="0.208333333333333" header="0" footer="0.40625"/>
  <pageSetup paperSize="9" orientation="landscape" blackAndWhite="1" useFirstPageNumber="1"/>
  <headerFooter alignWithMargins="0">
    <oddFooter>&amp;C&amp;P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O10"/>
  <sheetViews>
    <sheetView zoomScaleSheetLayoutView="60" workbookViewId="0">
      <selection activeCell="A1" sqref="A1"/>
    </sheetView>
  </sheetViews>
  <sheetFormatPr defaultColWidth="10" defaultRowHeight="15" customHeight="1"/>
  <cols>
    <col min="1" max="1" width="5" customWidth="1"/>
    <col min="2" max="2" width="10" customWidth="1"/>
    <col min="3" max="3" width="29.1666666666667" customWidth="1"/>
    <col min="4" max="4" width="6.66666666666667" customWidth="1"/>
    <col min="5" max="9" width="10" customWidth="1"/>
    <col min="10" max="14" width="10.8333333333333" customWidth="1"/>
    <col min="15" max="15" width="12.5" customWidth="1"/>
  </cols>
  <sheetData>
    <row r="4" ht="18.75" customHeight="1" spans="1:15">
      <c r="A4" s="15" t="s">
        <v>946</v>
      </c>
      <c r="B4" s="15" t="s">
        <v>4</v>
      </c>
      <c r="C4" s="15" t="s">
        <v>803</v>
      </c>
      <c r="D4" s="16" t="s">
        <v>6</v>
      </c>
      <c r="E4" s="15" t="s">
        <v>14</v>
      </c>
      <c r="F4" s="15"/>
      <c r="G4" s="15"/>
      <c r="H4" s="15"/>
      <c r="I4" s="15"/>
      <c r="J4" s="15" t="s">
        <v>15</v>
      </c>
      <c r="K4" s="15"/>
      <c r="L4" s="15"/>
      <c r="M4" s="15"/>
      <c r="N4" s="15"/>
      <c r="O4" s="16" t="s">
        <v>952</v>
      </c>
    </row>
    <row r="5" ht="18.75" customHeight="1" spans="1:15">
      <c r="A5" s="15"/>
      <c r="B5" s="15"/>
      <c r="C5" s="15"/>
      <c r="D5" s="15"/>
      <c r="E5" s="15" t="s">
        <v>31</v>
      </c>
      <c r="F5" s="15" t="s">
        <v>953</v>
      </c>
      <c r="G5" s="15" t="s">
        <v>948</v>
      </c>
      <c r="H5" s="15" t="s">
        <v>954</v>
      </c>
      <c r="I5" s="15" t="s">
        <v>950</v>
      </c>
      <c r="J5" s="15" t="s">
        <v>31</v>
      </c>
      <c r="K5" s="15" t="s">
        <v>953</v>
      </c>
      <c r="L5" s="15" t="s">
        <v>948</v>
      </c>
      <c r="M5" s="15" t="s">
        <v>954</v>
      </c>
      <c r="N5" s="15" t="s">
        <v>950</v>
      </c>
      <c r="O5" s="15"/>
    </row>
    <row r="6" customHeight="1" spans="1:4">
      <c r="A6" s="2"/>
      <c r="B6" s="2"/>
      <c r="D6" s="2"/>
    </row>
    <row r="7" customHeight="1" spans="1:4">
      <c r="A7" s="2"/>
      <c r="B7" s="2"/>
      <c r="D7" s="2"/>
    </row>
    <row r="8" customHeight="1" spans="1:4">
      <c r="A8" s="2"/>
      <c r="B8" s="2"/>
      <c r="D8" s="2"/>
    </row>
    <row r="9" ht="18.75" customHeight="1" spans="1:15">
      <c r="A9" s="15" t="str">
        <f t="shared" ref="A9:O9" si="0">A4</f>
        <v>TT</v>
      </c>
      <c r="B9" s="15" t="str">
        <f t="shared" si="0"/>
        <v>Mã số</v>
      </c>
      <c r="C9" s="15" t="str">
        <f t="shared" si="0"/>
        <v>Thành phần hao phí</v>
      </c>
      <c r="D9" s="16" t="str">
        <f t="shared" si="0"/>
        <v>Đơn vị</v>
      </c>
      <c r="E9" s="15" t="str">
        <f t="shared" si="0"/>
        <v>Đơn giá</v>
      </c>
      <c r="F9" s="15">
        <f t="shared" si="0"/>
        <v>0</v>
      </c>
      <c r="G9" s="15">
        <f t="shared" si="0"/>
        <v>0</v>
      </c>
      <c r="H9" s="15">
        <f t="shared" si="0"/>
        <v>0</v>
      </c>
      <c r="I9" s="15">
        <f t="shared" si="0"/>
        <v>0</v>
      </c>
      <c r="J9" s="15" t="str">
        <f t="shared" si="0"/>
        <v>Thành tiền</v>
      </c>
      <c r="K9" s="15">
        <f t="shared" si="0"/>
        <v>0</v>
      </c>
      <c r="L9" s="15">
        <f t="shared" si="0"/>
        <v>0</v>
      </c>
      <c r="M9" s="15">
        <f t="shared" si="0"/>
        <v>0</v>
      </c>
      <c r="N9" s="15">
        <f t="shared" si="0"/>
        <v>0</v>
      </c>
      <c r="O9" s="16" t="str">
        <f t="shared" si="0"/>
        <v>Đơn giá tổng hợp</v>
      </c>
    </row>
    <row r="10" ht="18.75" customHeight="1" spans="1:15">
      <c r="A10" s="15">
        <f t="shared" ref="A10:O10" si="1">A5</f>
        <v>0</v>
      </c>
      <c r="B10" s="15">
        <f t="shared" si="1"/>
        <v>0</v>
      </c>
      <c r="C10" s="15">
        <f t="shared" si="1"/>
        <v>0</v>
      </c>
      <c r="D10" s="15">
        <f t="shared" si="1"/>
        <v>0</v>
      </c>
      <c r="E10" s="15" t="str">
        <f t="shared" si="1"/>
        <v>Vật liệu</v>
      </c>
      <c r="F10" s="15" t="str">
        <f t="shared" si="1"/>
        <v>Bù V.L</v>
      </c>
      <c r="G10" s="15" t="str">
        <f t="shared" si="1"/>
        <v>NC XL</v>
      </c>
      <c r="H10" s="15" t="str">
        <f t="shared" si="1"/>
        <v>NC Đất</v>
      </c>
      <c r="I10" s="15" t="str">
        <f t="shared" si="1"/>
        <v>Ca máy</v>
      </c>
      <c r="J10" s="15" t="str">
        <f t="shared" si="1"/>
        <v>Vật liệu</v>
      </c>
      <c r="K10" s="15" t="str">
        <f t="shared" si="1"/>
        <v>Bù V.L</v>
      </c>
      <c r="L10" s="15" t="str">
        <f t="shared" si="1"/>
        <v>NC XL</v>
      </c>
      <c r="M10" s="15" t="str">
        <f t="shared" si="1"/>
        <v>NC Đất</v>
      </c>
      <c r="N10" s="15" t="str">
        <f t="shared" si="1"/>
        <v>Ca máy</v>
      </c>
      <c r="O10" s="15">
        <f t="shared" si="1"/>
        <v>0</v>
      </c>
    </row>
  </sheetData>
  <mergeCells count="14">
    <mergeCell ref="E4:I4"/>
    <mergeCell ref="J4:N4"/>
    <mergeCell ref="E9:I9"/>
    <mergeCell ref="J9:N9"/>
    <mergeCell ref="A4:A5"/>
    <mergeCell ref="A9:A10"/>
    <mergeCell ref="B4:B5"/>
    <mergeCell ref="B9:B10"/>
    <mergeCell ref="C4:C5"/>
    <mergeCell ref="C9:C10"/>
    <mergeCell ref="D4:D5"/>
    <mergeCell ref="D9:D10"/>
    <mergeCell ref="O4:O5"/>
    <mergeCell ref="O9:O10"/>
  </mergeCells>
  <pageMargins left="1.22916666666667" right="0" top="0.822916666666667" bottom="0.208333333333333" header="0" footer="0.40625"/>
  <pageSetup paperSize="9" orientation="landscape" blackAndWhite="1" useFirstPageNumber="1"/>
  <headerFooter alignWithMargins="0">
    <oddFooter>&amp;C&amp;P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cols>
    <col min="1" max="16384" width="10" style="14"/>
  </cols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I10" sqref="I10"/>
    </sheetView>
  </sheetViews>
  <sheetFormatPr defaultColWidth="10" defaultRowHeight="15" customHeight="1"/>
  <sheetData/>
  <pageMargins left="1.0625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cols>
    <col min="1" max="4" width="10" customWidth="1"/>
    <col min="5" max="7" width="10" hidden="1" customWidth="1"/>
    <col min="8" max="13" width="10" customWidth="1"/>
    <col min="14" max="14" width="10" hidden="1" customWidth="1"/>
    <col min="15" max="16" width="10" customWidth="1"/>
    <col min="17" max="17" width="10" hidden="1" customWidth="1"/>
    <col min="18" max="18" width="10" customWidth="1"/>
    <col min="19" max="20" width="10" hidden="1" customWidth="1"/>
    <col min="21" max="22" width="10" customWidth="1"/>
    <col min="23" max="26" width="10" hidden="1" customWidth="1"/>
  </cols>
  <sheetData/>
  <pageMargins left="0.40625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cols>
    <col min="1" max="1" width="10" customWidth="1"/>
    <col min="2" max="3" width="10" hidden="1" customWidth="1"/>
    <col min="4" max="6" width="10" customWidth="1"/>
    <col min="7" max="14" width="10" hidden="1" customWidth="1"/>
    <col min="15" max="16" width="10" customWidth="1"/>
    <col min="17" max="17" width="10" hidden="1" customWidth="1"/>
    <col min="18" max="20" width="10" customWidth="1"/>
    <col min="21" max="21" width="10" hidden="1" customWidth="1"/>
  </cols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1.22916666666667" right="0" top="0.0416666666666667" bottom="0.208333333333333" header="0.572916666666667" footer="0.40625"/>
  <pageSetup paperSize="9" orientation="portrait" blackAndWhite="1" useFirstPageNumber="1"/>
  <headerFooter alignWithMargins="0">
    <oddFooter>&amp;C&amp;P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zoomScaleSheetLayoutView="60" workbookViewId="0">
      <selection activeCell="A1" sqref="A1:D1"/>
    </sheetView>
  </sheetViews>
  <sheetFormatPr defaultColWidth="10" defaultRowHeight="15" customHeight="1" outlineLevelCol="3"/>
  <cols>
    <col min="1" max="1" width="10" customWidth="1"/>
    <col min="2" max="2" width="41.6666666666667" customWidth="1"/>
    <col min="3" max="4" width="20" customWidth="1"/>
  </cols>
  <sheetData>
    <row r="1" ht="26.25" customHeight="1" spans="1:1">
      <c r="A1" s="6" t="s">
        <v>955</v>
      </c>
    </row>
    <row r="2" ht="33" customHeight="1" spans="1:1">
      <c r="A2" s="7" t="s">
        <v>1</v>
      </c>
    </row>
    <row r="3" ht="37.5" customHeight="1" spans="1:1">
      <c r="A3" s="8" t="s">
        <v>2</v>
      </c>
    </row>
    <row r="4" customHeight="1" spans="1:4">
      <c r="A4" s="9" t="s">
        <v>3</v>
      </c>
      <c r="B4" s="9" t="s">
        <v>956</v>
      </c>
      <c r="C4" s="9" t="s">
        <v>957</v>
      </c>
      <c r="D4" s="9" t="s">
        <v>9</v>
      </c>
    </row>
    <row r="5" customHeight="1" spans="1:4">
      <c r="A5" s="10">
        <v>1</v>
      </c>
      <c r="B5" s="11" t="s">
        <v>958</v>
      </c>
      <c r="C5" s="12" t="s">
        <v>904</v>
      </c>
      <c r="D5" s="13">
        <v>1</v>
      </c>
    </row>
    <row r="6" customHeight="1" spans="1:4">
      <c r="A6" s="10">
        <v>2</v>
      </c>
      <c r="B6" s="11" t="s">
        <v>959</v>
      </c>
      <c r="C6" s="12" t="s">
        <v>960</v>
      </c>
      <c r="D6" s="13">
        <v>0</v>
      </c>
    </row>
    <row r="7" customHeight="1" spans="1:4">
      <c r="A7" s="10">
        <v>3</v>
      </c>
      <c r="B7" s="11" t="s">
        <v>961</v>
      </c>
      <c r="C7" s="12" t="s">
        <v>904</v>
      </c>
      <c r="D7" s="13">
        <v>1</v>
      </c>
    </row>
    <row r="8" customHeight="1" spans="1:4">
      <c r="A8" s="10">
        <v>4</v>
      </c>
      <c r="B8" s="11" t="s">
        <v>962</v>
      </c>
      <c r="C8" s="12" t="s">
        <v>960</v>
      </c>
      <c r="D8" s="13">
        <v>0</v>
      </c>
    </row>
    <row r="9" customHeight="1" spans="1:4">
      <c r="A9" s="10">
        <v>5</v>
      </c>
      <c r="B9" s="11" t="s">
        <v>963</v>
      </c>
      <c r="C9" s="12" t="s">
        <v>904</v>
      </c>
      <c r="D9" s="13">
        <v>1</v>
      </c>
    </row>
    <row r="10" customHeight="1" spans="1:4">
      <c r="A10" s="10">
        <v>6</v>
      </c>
      <c r="B10" s="11" t="s">
        <v>964</v>
      </c>
      <c r="C10" s="12" t="s">
        <v>960</v>
      </c>
      <c r="D10" s="13">
        <v>0</v>
      </c>
    </row>
    <row r="11" customHeight="1" spans="1:4">
      <c r="A11" s="10">
        <v>7</v>
      </c>
      <c r="B11" s="11" t="s">
        <v>965</v>
      </c>
      <c r="C11" s="12" t="s">
        <v>904</v>
      </c>
      <c r="D11" s="13">
        <v>1</v>
      </c>
    </row>
    <row r="12" customHeight="1" spans="1:4">
      <c r="A12" s="10">
        <v>8</v>
      </c>
      <c r="B12" s="11" t="s">
        <v>966</v>
      </c>
      <c r="C12" s="12" t="s">
        <v>960</v>
      </c>
      <c r="D12" s="13">
        <v>0</v>
      </c>
    </row>
    <row r="13" customHeight="1" spans="1:4">
      <c r="A13" s="10">
        <v>9</v>
      </c>
      <c r="B13" s="11" t="s">
        <v>967</v>
      </c>
      <c r="C13" s="12" t="str">
        <f t="shared" ref="C13:C18" si="0">D13*100&amp;"%"</f>
        <v>2.5%</v>
      </c>
      <c r="D13" s="13">
        <v>0.025</v>
      </c>
    </row>
    <row r="14" customHeight="1" spans="1:4">
      <c r="A14" s="10">
        <v>10</v>
      </c>
      <c r="B14" s="11" t="s">
        <v>968</v>
      </c>
      <c r="C14" s="12" t="str">
        <f t="shared" si="0"/>
        <v>5.7%</v>
      </c>
      <c r="D14" s="13">
        <v>0.057</v>
      </c>
    </row>
    <row r="15" customHeight="1" spans="1:4">
      <c r="A15" s="10">
        <v>11</v>
      </c>
      <c r="B15" s="11" t="s">
        <v>969</v>
      </c>
      <c r="C15" s="12" t="str">
        <f t="shared" si="0"/>
        <v>0%</v>
      </c>
      <c r="D15" s="13">
        <v>0</v>
      </c>
    </row>
    <row r="16" customHeight="1" spans="1:4">
      <c r="A16" s="10">
        <v>12</v>
      </c>
      <c r="B16" s="11" t="s">
        <v>970</v>
      </c>
      <c r="C16" s="12" t="str">
        <f t="shared" si="0"/>
        <v>5.5%</v>
      </c>
      <c r="D16" s="13">
        <v>0.055</v>
      </c>
    </row>
    <row r="17" customHeight="1" spans="1:4">
      <c r="A17" s="10">
        <v>13</v>
      </c>
      <c r="B17" s="11" t="s">
        <v>939</v>
      </c>
      <c r="C17" s="12" t="str">
        <f t="shared" si="0"/>
        <v>10%</v>
      </c>
      <c r="D17" s="13">
        <v>0.1</v>
      </c>
    </row>
    <row r="18" customHeight="1" spans="1:4">
      <c r="A18" s="10">
        <v>14</v>
      </c>
      <c r="B18" s="11" t="s">
        <v>971</v>
      </c>
      <c r="C18" s="12" t="str">
        <f t="shared" si="0"/>
        <v>1%</v>
      </c>
      <c r="D18" s="13">
        <v>0.01</v>
      </c>
    </row>
    <row r="19" ht="26.25" customHeight="1" spans="1:1">
      <c r="A19" s="6" t="s">
        <v>955</v>
      </c>
    </row>
    <row r="20" ht="33" customHeight="1" spans="1:1">
      <c r="A20" s="7" t="s">
        <v>1</v>
      </c>
    </row>
    <row r="21" ht="37.5" customHeight="1" spans="1:1">
      <c r="A21" s="8" t="s">
        <v>209</v>
      </c>
    </row>
    <row r="22" customHeight="1" spans="1:4">
      <c r="A22" s="9" t="s">
        <v>3</v>
      </c>
      <c r="B22" s="9" t="s">
        <v>956</v>
      </c>
      <c r="C22" s="9" t="s">
        <v>957</v>
      </c>
      <c r="D22" s="9" t="s">
        <v>9</v>
      </c>
    </row>
    <row r="23" customHeight="1" spans="1:4">
      <c r="A23" s="10">
        <v>1</v>
      </c>
      <c r="B23" s="11" t="s">
        <v>958</v>
      </c>
      <c r="C23" s="12" t="s">
        <v>904</v>
      </c>
      <c r="D23" s="13">
        <v>1</v>
      </c>
    </row>
    <row r="24" customHeight="1" spans="1:4">
      <c r="A24" s="10">
        <v>2</v>
      </c>
      <c r="B24" s="11" t="s">
        <v>959</v>
      </c>
      <c r="C24" s="12" t="s">
        <v>960</v>
      </c>
      <c r="D24" s="13">
        <v>0</v>
      </c>
    </row>
    <row r="25" customHeight="1" spans="1:4">
      <c r="A25" s="10">
        <v>3</v>
      </c>
      <c r="B25" s="11" t="s">
        <v>961</v>
      </c>
      <c r="C25" s="12" t="s">
        <v>904</v>
      </c>
      <c r="D25" s="13">
        <v>1</v>
      </c>
    </row>
    <row r="26" customHeight="1" spans="1:4">
      <c r="A26" s="10">
        <v>4</v>
      </c>
      <c r="B26" s="11" t="s">
        <v>962</v>
      </c>
      <c r="C26" s="12" t="s">
        <v>960</v>
      </c>
      <c r="D26" s="13">
        <v>0</v>
      </c>
    </row>
    <row r="27" customHeight="1" spans="1:4">
      <c r="A27" s="10">
        <v>5</v>
      </c>
      <c r="B27" s="11" t="s">
        <v>963</v>
      </c>
      <c r="C27" s="12" t="s">
        <v>904</v>
      </c>
      <c r="D27" s="13">
        <v>1</v>
      </c>
    </row>
    <row r="28" customHeight="1" spans="1:4">
      <c r="A28" s="10">
        <v>6</v>
      </c>
      <c r="B28" s="11" t="s">
        <v>964</v>
      </c>
      <c r="C28" s="12" t="s">
        <v>960</v>
      </c>
      <c r="D28" s="13">
        <v>0</v>
      </c>
    </row>
    <row r="29" customHeight="1" spans="1:4">
      <c r="A29" s="10">
        <v>7</v>
      </c>
      <c r="B29" s="11" t="s">
        <v>965</v>
      </c>
      <c r="C29" s="12" t="s">
        <v>904</v>
      </c>
      <c r="D29" s="13">
        <v>1</v>
      </c>
    </row>
    <row r="30" customHeight="1" spans="1:4">
      <c r="A30" s="10">
        <v>8</v>
      </c>
      <c r="B30" s="11" t="s">
        <v>966</v>
      </c>
      <c r="C30" s="12" t="s">
        <v>960</v>
      </c>
      <c r="D30" s="13">
        <v>0</v>
      </c>
    </row>
    <row r="31" customHeight="1" spans="1:4">
      <c r="A31" s="10">
        <v>9</v>
      </c>
      <c r="B31" s="11" t="s">
        <v>967</v>
      </c>
      <c r="C31" s="12" t="str">
        <f t="shared" ref="C31:C36" si="1">D31*100&amp;"%"</f>
        <v>2.5%</v>
      </c>
      <c r="D31" s="13">
        <v>0.025</v>
      </c>
    </row>
    <row r="32" customHeight="1" spans="1:4">
      <c r="A32" s="10">
        <v>10</v>
      </c>
      <c r="B32" s="11" t="s">
        <v>968</v>
      </c>
      <c r="C32" s="12" t="str">
        <f t="shared" si="1"/>
        <v>5.7%</v>
      </c>
      <c r="D32" s="13">
        <v>0.057</v>
      </c>
    </row>
    <row r="33" customHeight="1" spans="1:4">
      <c r="A33" s="10">
        <v>11</v>
      </c>
      <c r="B33" s="11" t="s">
        <v>969</v>
      </c>
      <c r="C33" s="12" t="str">
        <f t="shared" si="1"/>
        <v>0%</v>
      </c>
      <c r="D33" s="13">
        <v>0</v>
      </c>
    </row>
    <row r="34" customHeight="1" spans="1:4">
      <c r="A34" s="10">
        <v>12</v>
      </c>
      <c r="B34" s="11" t="s">
        <v>970</v>
      </c>
      <c r="C34" s="12" t="str">
        <f t="shared" si="1"/>
        <v>5.5%</v>
      </c>
      <c r="D34" s="13">
        <v>0.055</v>
      </c>
    </row>
    <row r="35" customHeight="1" spans="1:4">
      <c r="A35" s="10">
        <v>13</v>
      </c>
      <c r="B35" s="11" t="s">
        <v>939</v>
      </c>
      <c r="C35" s="12" t="str">
        <f t="shared" si="1"/>
        <v>10%</v>
      </c>
      <c r="D35" s="13">
        <v>0.1</v>
      </c>
    </row>
    <row r="36" customHeight="1" spans="1:4">
      <c r="A36" s="10">
        <v>14</v>
      </c>
      <c r="B36" s="11" t="s">
        <v>971</v>
      </c>
      <c r="C36" s="12" t="str">
        <f t="shared" si="1"/>
        <v>1%</v>
      </c>
      <c r="D36" s="13">
        <v>0.01</v>
      </c>
    </row>
  </sheetData>
  <mergeCells count="6">
    <mergeCell ref="A1:D1"/>
    <mergeCell ref="A2:D2"/>
    <mergeCell ref="A3:D3"/>
    <mergeCell ref="A19:D19"/>
    <mergeCell ref="A20:D20"/>
    <mergeCell ref="A21:D21"/>
  </mergeCells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1.02083333333333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0.65625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cols>
    <col min="1" max="4" width="10" customWidth="1"/>
    <col min="5" max="7" width="10" hidden="1" customWidth="1"/>
    <col min="8" max="13" width="10" customWidth="1"/>
    <col min="14" max="14" width="10" hidden="1" customWidth="1"/>
    <col min="15" max="16" width="10" customWidth="1"/>
    <col min="17" max="17" width="10" hidden="1" customWidth="1"/>
    <col min="18" max="18" width="10" customWidth="1"/>
    <col min="19" max="20" width="10" hidden="1" customWidth="1"/>
    <col min="21" max="22" width="10" customWidth="1"/>
    <col min="23" max="26" width="10" hidden="1" customWidth="1"/>
  </cols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cols>
    <col min="1" max="5" width="10" customWidth="1"/>
    <col min="6" max="8" width="10" hidden="1" customWidth="1"/>
    <col min="9" max="10" width="10" customWidth="1"/>
    <col min="11" max="12" width="10" hidden="1" customWidth="1"/>
  </cols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0.208333333333333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sheetData/>
  <pageMargins left="0.208333333333333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0" defaultRowHeight="15" customHeight="1"/>
  <cols>
    <col min="1" max="16384" width="10" style="5"/>
  </cols>
  <sheetData/>
  <pageMargins left="1.22916666666667" right="0" top="0.0416666666666667" bottom="0.208333333333333" header="0.572916666666667" footer="0.40625"/>
  <pageSetup paperSize="9" orientation="landscape" blackAndWhite="1" useFirstPageNumber="1"/>
  <headerFooter alignWithMargins="0">
    <oddFooter>&amp;C&amp;P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0"/>
  <sheetViews>
    <sheetView zoomScaleSheetLayoutView="60" workbookViewId="0">
      <selection activeCell="A1" sqref="A1:F1"/>
    </sheetView>
  </sheetViews>
  <sheetFormatPr defaultColWidth="10" defaultRowHeight="15" customHeight="1"/>
  <cols>
    <col min="1" max="1" width="24.6666666666667" customWidth="1"/>
    <col min="2" max="3" width="29" customWidth="1"/>
    <col min="4" max="4" width="26.6666666666667" customWidth="1"/>
    <col min="5" max="5" width="22.8333333333333" customWidth="1"/>
    <col min="6" max="6" width="27.8333333333333" customWidth="1"/>
    <col min="7" max="7" width="26" customWidth="1"/>
    <col min="8" max="8" width="26.3333333333333" customWidth="1"/>
    <col min="9" max="9" width="20.3333333333333" customWidth="1"/>
    <col min="10" max="10" width="33.8333333333333" customWidth="1"/>
    <col min="11" max="11" width="18" customWidth="1"/>
    <col min="12" max="12" width="14.8333333333333" customWidth="1"/>
    <col min="13" max="13" width="11.6666666666667" customWidth="1"/>
    <col min="14" max="14" width="16.3333333333333" customWidth="1"/>
    <col min="15" max="15" width="17" customWidth="1"/>
    <col min="16" max="16" width="21.5" customWidth="1"/>
    <col min="17" max="17" width="12.6666666666667" customWidth="1"/>
    <col min="18" max="18" width="12.5" customWidth="1"/>
    <col min="19" max="19" width="20" customWidth="1"/>
    <col min="20" max="20" width="20.8333333333333" customWidth="1"/>
    <col min="21" max="21" width="13.8333333333333" customWidth="1"/>
    <col min="22" max="22" width="14.6666666666667" customWidth="1"/>
  </cols>
  <sheetData>
    <row r="1" customHeight="1" spans="1:1">
      <c r="A1" s="1" t="s">
        <v>972</v>
      </c>
    </row>
    <row r="2" customHeight="1" spans="1:23">
      <c r="A2" s="2" t="s">
        <v>960</v>
      </c>
      <c r="B2" t="s">
        <v>904</v>
      </c>
      <c r="C2" t="s">
        <v>910</v>
      </c>
      <c r="D2" t="s">
        <v>914</v>
      </c>
      <c r="E2" t="s">
        <v>973</v>
      </c>
      <c r="F2" t="s">
        <v>974</v>
      </c>
      <c r="G2" t="s">
        <v>975</v>
      </c>
      <c r="H2" t="s">
        <v>976</v>
      </c>
      <c r="I2" t="s">
        <v>977</v>
      </c>
      <c r="J2" t="s">
        <v>978</v>
      </c>
      <c r="K2" t="s">
        <v>979</v>
      </c>
      <c r="L2" t="s">
        <v>980</v>
      </c>
      <c r="M2" t="s">
        <v>981</v>
      </c>
      <c r="N2" t="s">
        <v>982</v>
      </c>
      <c r="O2" t="s">
        <v>983</v>
      </c>
      <c r="P2" t="s">
        <v>984</v>
      </c>
      <c r="Q2" t="s">
        <v>985</v>
      </c>
      <c r="R2" t="s">
        <v>986</v>
      </c>
      <c r="S2" t="s">
        <v>987</v>
      </c>
      <c r="T2" t="s">
        <v>988</v>
      </c>
      <c r="U2" t="s">
        <v>989</v>
      </c>
      <c r="V2" t="s">
        <v>990</v>
      </c>
      <c r="W2" t="s">
        <v>991</v>
      </c>
    </row>
    <row r="3" customHeight="1" spans="1:14">
      <c r="A3" t="s">
        <v>992</v>
      </c>
      <c r="B3" t="s">
        <v>993</v>
      </c>
      <c r="C3" t="s">
        <v>994</v>
      </c>
      <c r="D3" t="s">
        <v>995</v>
      </c>
      <c r="E3" t="s">
        <v>996</v>
      </c>
      <c r="F3" t="s">
        <v>997</v>
      </c>
      <c r="G3" t="s">
        <v>998</v>
      </c>
      <c r="H3" t="s">
        <v>999</v>
      </c>
      <c r="I3" t="s">
        <v>1000</v>
      </c>
      <c r="J3" t="s">
        <v>1001</v>
      </c>
      <c r="K3" t="s">
        <v>1002</v>
      </c>
      <c r="L3" t="s">
        <v>1003</v>
      </c>
      <c r="M3" t="s">
        <v>1004</v>
      </c>
      <c r="N3" t="s">
        <v>1005</v>
      </c>
    </row>
    <row r="4" customHeight="1" spans="1:12">
      <c r="A4" t="s">
        <v>975</v>
      </c>
      <c r="B4" t="s">
        <v>978</v>
      </c>
      <c r="C4" t="s">
        <v>981</v>
      </c>
      <c r="D4" t="s">
        <v>984</v>
      </c>
      <c r="E4" t="s">
        <v>987</v>
      </c>
      <c r="F4" t="s">
        <v>1006</v>
      </c>
      <c r="G4" t="s">
        <v>1007</v>
      </c>
      <c r="H4" t="s">
        <v>1008</v>
      </c>
      <c r="I4" t="s">
        <v>1009</v>
      </c>
      <c r="J4" t="s">
        <v>1010</v>
      </c>
      <c r="K4" t="s">
        <v>1011</v>
      </c>
      <c r="L4" t="s">
        <v>1012</v>
      </c>
    </row>
    <row r="5" customHeight="1" spans="1:1">
      <c r="A5" t="s">
        <v>1013</v>
      </c>
    </row>
    <row r="6" customHeight="1" spans="1:11">
      <c r="A6" t="s">
        <v>1014</v>
      </c>
      <c r="B6" t="s">
        <v>1015</v>
      </c>
      <c r="C6" t="s">
        <v>1016</v>
      </c>
      <c r="D6" t="s">
        <v>1017</v>
      </c>
      <c r="E6" t="s">
        <v>1018</v>
      </c>
      <c r="F6" t="s">
        <v>1019</v>
      </c>
      <c r="G6" t="s">
        <v>1020</v>
      </c>
      <c r="H6" t="s">
        <v>1021</v>
      </c>
      <c r="I6" t="s">
        <v>1022</v>
      </c>
      <c r="J6" t="s">
        <v>1023</v>
      </c>
      <c r="K6" t="s">
        <v>1024</v>
      </c>
    </row>
    <row r="7" ht="17.25" customHeight="1" spans="1:14">
      <c r="A7" t="s">
        <v>1</v>
      </c>
      <c r="B7" t="s">
        <v>1025</v>
      </c>
      <c r="C7" t="s">
        <v>1026</v>
      </c>
      <c r="D7" t="s">
        <v>1027</v>
      </c>
      <c r="E7" s="3" t="s">
        <v>904</v>
      </c>
      <c r="F7" t="s">
        <v>904</v>
      </c>
      <c r="G7" t="s">
        <v>914</v>
      </c>
      <c r="H7" t="s">
        <v>910</v>
      </c>
      <c r="I7" t="s">
        <v>1028</v>
      </c>
      <c r="J7" s="4" t="s">
        <v>985</v>
      </c>
      <c r="L7" t="s">
        <v>910</v>
      </c>
      <c r="M7" t="s">
        <v>910</v>
      </c>
      <c r="N7" t="s">
        <v>910</v>
      </c>
    </row>
    <row r="8" customHeight="1" spans="1:1">
      <c r="A8" s="1" t="s">
        <v>1029</v>
      </c>
    </row>
    <row r="9" customHeight="1" spans="1:5">
      <c r="A9" t="s">
        <v>1030</v>
      </c>
      <c r="B9" t="s">
        <v>14</v>
      </c>
      <c r="C9" t="s">
        <v>499</v>
      </c>
      <c r="D9" t="s">
        <v>1031</v>
      </c>
      <c r="E9" t="s">
        <v>1032</v>
      </c>
    </row>
    <row r="10" customHeight="1" spans="1:3">
      <c r="A10" t="s">
        <v>51</v>
      </c>
      <c r="B10" t="s">
        <v>47</v>
      </c>
      <c r="C10" t="s">
        <v>1033</v>
      </c>
    </row>
    <row r="11" customHeight="1" spans="1:1">
      <c r="A11" t="s">
        <v>994</v>
      </c>
    </row>
    <row r="12" customHeight="1" spans="1:3">
      <c r="A12" t="s">
        <v>1034</v>
      </c>
      <c r="B12" t="s">
        <v>1035</v>
      </c>
      <c r="C12" t="s">
        <v>1036</v>
      </c>
    </row>
    <row r="14" customHeight="1" spans="1:1">
      <c r="A14" t="s">
        <v>995</v>
      </c>
    </row>
    <row r="15" customHeight="1" spans="1:3">
      <c r="A15" t="s">
        <v>1019</v>
      </c>
      <c r="B15" t="s">
        <v>1037</v>
      </c>
      <c r="C15" t="s">
        <v>1038</v>
      </c>
    </row>
    <row r="17" customHeight="1" spans="1:1">
      <c r="A17" t="s">
        <v>996</v>
      </c>
    </row>
    <row r="18" customHeight="1" spans="1:2">
      <c r="A18" t="s">
        <v>1039</v>
      </c>
      <c r="B18" t="s">
        <v>1040</v>
      </c>
    </row>
    <row r="19" customHeight="1" spans="1:2">
      <c r="A19" t="s">
        <v>1041</v>
      </c>
      <c r="B19" t="s">
        <v>0</v>
      </c>
    </row>
    <row r="20" customHeight="1" spans="1:2">
      <c r="A20" t="s">
        <v>1042</v>
      </c>
      <c r="B20" t="s">
        <v>496</v>
      </c>
    </row>
    <row r="21" customHeight="1" spans="1:2">
      <c r="A21" t="s">
        <v>1043</v>
      </c>
      <c r="B21" t="s">
        <v>1044</v>
      </c>
    </row>
    <row r="22" customHeight="1" spans="1:2">
      <c r="A22" t="s">
        <v>1045</v>
      </c>
      <c r="B22" t="s">
        <v>819</v>
      </c>
    </row>
    <row r="23" customHeight="1" spans="1:2">
      <c r="A23" t="s">
        <v>1046</v>
      </c>
      <c r="B23" t="s">
        <v>838</v>
      </c>
    </row>
    <row r="24" customHeight="1" spans="1:2">
      <c r="A24" t="s">
        <v>1047</v>
      </c>
      <c r="B24" t="s">
        <v>1048</v>
      </c>
    </row>
    <row r="25" customHeight="1" spans="1:2">
      <c r="A25" t="s">
        <v>1049</v>
      </c>
      <c r="B25" t="s">
        <v>899</v>
      </c>
    </row>
    <row r="26" customHeight="1" spans="1:2">
      <c r="A26" t="s">
        <v>1050</v>
      </c>
      <c r="B26" t="s">
        <v>935</v>
      </c>
    </row>
    <row r="27" customHeight="1" spans="1:2">
      <c r="A27" t="s">
        <v>1051</v>
      </c>
      <c r="B27" t="s">
        <v>1052</v>
      </c>
    </row>
    <row r="28" customHeight="1" spans="1:2">
      <c r="A28" t="s">
        <v>1053</v>
      </c>
      <c r="B28" t="s">
        <v>1054</v>
      </c>
    </row>
    <row r="29" customHeight="1" spans="1:2">
      <c r="A29" t="s">
        <v>1034</v>
      </c>
      <c r="B29" t="s">
        <v>802</v>
      </c>
    </row>
    <row r="30" customHeight="1" spans="1:2">
      <c r="A30" t="s">
        <v>1055</v>
      </c>
      <c r="B30" t="s">
        <v>795</v>
      </c>
    </row>
    <row r="31" customHeight="1" spans="1:2">
      <c r="A31" t="s">
        <v>1056</v>
      </c>
      <c r="B31" t="s">
        <v>1057</v>
      </c>
    </row>
    <row r="32" customHeight="1" spans="1:2">
      <c r="A32" t="s">
        <v>1058</v>
      </c>
      <c r="B32" t="s">
        <v>1059</v>
      </c>
    </row>
    <row r="33" customHeight="1" spans="1:1">
      <c r="A33" t="s">
        <v>997</v>
      </c>
    </row>
    <row r="34" customHeight="1" spans="1:7">
      <c r="A34" t="s">
        <v>1060</v>
      </c>
      <c r="B34" t="s">
        <v>1061</v>
      </c>
      <c r="C34" t="s">
        <v>1062</v>
      </c>
      <c r="D34" t="s">
        <v>1063</v>
      </c>
      <c r="E34" t="s">
        <v>1064</v>
      </c>
      <c r="F34" t="s">
        <v>1065</v>
      </c>
      <c r="G34" t="s">
        <v>1066</v>
      </c>
    </row>
    <row r="35" customHeight="1" spans="1:7">
      <c r="A35" t="s">
        <v>1067</v>
      </c>
      <c r="B35" t="s">
        <v>1068</v>
      </c>
      <c r="C35" t="s">
        <v>979</v>
      </c>
      <c r="D35" t="s">
        <v>960</v>
      </c>
      <c r="E35" t="s">
        <v>960</v>
      </c>
      <c r="F35" t="s">
        <v>960</v>
      </c>
      <c r="G35" t="s">
        <v>960</v>
      </c>
    </row>
    <row r="36" customHeight="1" spans="1:7">
      <c r="A36" t="s">
        <v>721</v>
      </c>
      <c r="B36" t="s">
        <v>1068</v>
      </c>
      <c r="C36" t="s">
        <v>979</v>
      </c>
      <c r="D36" t="s">
        <v>960</v>
      </c>
      <c r="E36" t="s">
        <v>904</v>
      </c>
      <c r="F36" t="s">
        <v>960</v>
      </c>
      <c r="G36" t="s">
        <v>960</v>
      </c>
    </row>
    <row r="37" customHeight="1" spans="1:7">
      <c r="A37" t="s">
        <v>1069</v>
      </c>
      <c r="B37" t="s">
        <v>1068</v>
      </c>
      <c r="C37" t="s">
        <v>979</v>
      </c>
      <c r="D37" t="s">
        <v>904</v>
      </c>
      <c r="E37" t="s">
        <v>960</v>
      </c>
      <c r="F37" t="s">
        <v>960</v>
      </c>
      <c r="G37" t="s">
        <v>960</v>
      </c>
    </row>
    <row r="38" customHeight="1" spans="1:7">
      <c r="A38" t="s">
        <v>1002</v>
      </c>
      <c r="B38" t="s">
        <v>1070</v>
      </c>
      <c r="C38" t="s">
        <v>979</v>
      </c>
      <c r="D38" t="s">
        <v>904</v>
      </c>
      <c r="E38" t="s">
        <v>960</v>
      </c>
      <c r="F38" t="s">
        <v>960</v>
      </c>
      <c r="G38" t="s">
        <v>960</v>
      </c>
    </row>
    <row r="39" customHeight="1" spans="1:7">
      <c r="A39" t="s">
        <v>1071</v>
      </c>
      <c r="B39" t="s">
        <v>1070</v>
      </c>
      <c r="C39" t="s">
        <v>980</v>
      </c>
      <c r="D39" t="s">
        <v>904</v>
      </c>
      <c r="E39" t="s">
        <v>960</v>
      </c>
      <c r="F39" t="s">
        <v>960</v>
      </c>
      <c r="G39" t="s">
        <v>960</v>
      </c>
    </row>
    <row r="40" customHeight="1" spans="1:7">
      <c r="A40" t="s">
        <v>1072</v>
      </c>
      <c r="B40" t="s">
        <v>1070</v>
      </c>
      <c r="C40" t="s">
        <v>980</v>
      </c>
      <c r="D40" t="s">
        <v>904</v>
      </c>
      <c r="E40" t="s">
        <v>960</v>
      </c>
      <c r="F40" t="s">
        <v>960</v>
      </c>
      <c r="G40" t="s">
        <v>960</v>
      </c>
    </row>
    <row r="41" customHeight="1" spans="1:7">
      <c r="A41" t="s">
        <v>1014</v>
      </c>
      <c r="B41" t="s">
        <v>1070</v>
      </c>
      <c r="C41" t="s">
        <v>981</v>
      </c>
      <c r="D41" t="s">
        <v>904</v>
      </c>
      <c r="E41" t="s">
        <v>960</v>
      </c>
      <c r="F41" t="s">
        <v>960</v>
      </c>
      <c r="G41" t="s">
        <v>960</v>
      </c>
    </row>
    <row r="42" customHeight="1" spans="1:7">
      <c r="A42" t="s">
        <v>1073</v>
      </c>
      <c r="B42" t="s">
        <v>1070</v>
      </c>
      <c r="C42" t="s">
        <v>984</v>
      </c>
      <c r="D42" t="s">
        <v>904</v>
      </c>
      <c r="E42" t="s">
        <v>960</v>
      </c>
      <c r="F42" t="s">
        <v>960</v>
      </c>
      <c r="G42" t="s">
        <v>960</v>
      </c>
    </row>
    <row r="43" customHeight="1" spans="1:1">
      <c r="A43" t="s">
        <v>998</v>
      </c>
    </row>
    <row r="44" customHeight="1" spans="1:5">
      <c r="A44" t="s">
        <v>1060</v>
      </c>
      <c r="B44" t="s">
        <v>1074</v>
      </c>
      <c r="C44" t="s">
        <v>1075</v>
      </c>
      <c r="D44" t="s">
        <v>813</v>
      </c>
      <c r="E44" t="s">
        <v>1076</v>
      </c>
    </row>
    <row r="45" customHeight="1" spans="1:5">
      <c r="A45" t="s">
        <v>1067</v>
      </c>
      <c r="B45" t="s">
        <v>1077</v>
      </c>
      <c r="C45" t="s">
        <v>960</v>
      </c>
      <c r="D45" t="s">
        <v>960</v>
      </c>
      <c r="E45" t="s">
        <v>960</v>
      </c>
    </row>
    <row r="46" customHeight="1" spans="1:5">
      <c r="A46" t="s">
        <v>721</v>
      </c>
      <c r="B46" t="s">
        <v>1077</v>
      </c>
      <c r="C46" t="s">
        <v>960</v>
      </c>
      <c r="D46" t="s">
        <v>960</v>
      </c>
      <c r="E46" t="s">
        <v>1077</v>
      </c>
    </row>
    <row r="47" customHeight="1" spans="1:5">
      <c r="A47" t="s">
        <v>1078</v>
      </c>
      <c r="B47" t="s">
        <v>1077</v>
      </c>
      <c r="C47" t="s">
        <v>1077</v>
      </c>
      <c r="D47" t="s">
        <v>960</v>
      </c>
      <c r="E47" t="s">
        <v>960</v>
      </c>
    </row>
    <row r="48" customHeight="1" spans="1:5">
      <c r="A48" t="s">
        <v>13</v>
      </c>
      <c r="B48" t="s">
        <v>1077</v>
      </c>
      <c r="C48" t="s">
        <v>960</v>
      </c>
      <c r="D48" t="s">
        <v>960</v>
      </c>
      <c r="E48" t="s">
        <v>1077</v>
      </c>
    </row>
    <row r="49" customHeight="1" spans="1:5">
      <c r="A49" t="s">
        <v>1079</v>
      </c>
      <c r="B49" t="s">
        <v>1077</v>
      </c>
      <c r="C49" t="s">
        <v>1080</v>
      </c>
      <c r="D49" t="s">
        <v>1081</v>
      </c>
      <c r="E49" t="s">
        <v>1081</v>
      </c>
    </row>
    <row r="50" customHeight="1" spans="1:5">
      <c r="A50" t="s">
        <v>1069</v>
      </c>
      <c r="B50" t="s">
        <v>1077</v>
      </c>
      <c r="C50" t="s">
        <v>1082</v>
      </c>
      <c r="D50" t="s">
        <v>960</v>
      </c>
      <c r="E50" t="s">
        <v>960</v>
      </c>
    </row>
    <row r="51" customHeight="1" spans="1:5">
      <c r="A51" t="s">
        <v>1002</v>
      </c>
      <c r="B51" t="s">
        <v>1077</v>
      </c>
      <c r="C51" t="s">
        <v>960</v>
      </c>
      <c r="D51" t="s">
        <v>960</v>
      </c>
      <c r="E51" t="s">
        <v>1083</v>
      </c>
    </row>
    <row r="52" customHeight="1" spans="1:1">
      <c r="A52" t="s">
        <v>999</v>
      </c>
    </row>
    <row r="53" customHeight="1" spans="1:9">
      <c r="A53" t="s">
        <v>1073</v>
      </c>
      <c r="B53" t="s">
        <v>1061</v>
      </c>
      <c r="C53" t="s">
        <v>1062</v>
      </c>
      <c r="D53" t="s">
        <v>1063</v>
      </c>
      <c r="E53" t="s">
        <v>1064</v>
      </c>
      <c r="F53" t="s">
        <v>1065</v>
      </c>
      <c r="G53" t="s">
        <v>1066</v>
      </c>
      <c r="H53" t="s">
        <v>1084</v>
      </c>
      <c r="I53" t="s">
        <v>1085</v>
      </c>
    </row>
    <row r="54" customHeight="1" spans="1:9">
      <c r="A54" t="s">
        <v>1042</v>
      </c>
      <c r="B54" t="s">
        <v>1086</v>
      </c>
      <c r="C54" t="s">
        <v>980</v>
      </c>
      <c r="D54" t="s">
        <v>960</v>
      </c>
      <c r="E54" t="s">
        <v>960</v>
      </c>
      <c r="F54" t="s">
        <v>960</v>
      </c>
      <c r="G54" t="s">
        <v>960</v>
      </c>
      <c r="H54" t="s">
        <v>1070</v>
      </c>
      <c r="I54" t="s">
        <v>980</v>
      </c>
    </row>
    <row r="55" customHeight="1" spans="1:9">
      <c r="A55" t="s">
        <v>1043</v>
      </c>
      <c r="B55" t="s">
        <v>1086</v>
      </c>
      <c r="C55" t="s">
        <v>980</v>
      </c>
      <c r="D55" t="s">
        <v>960</v>
      </c>
      <c r="E55" t="s">
        <v>960</v>
      </c>
      <c r="F55" t="s">
        <v>960</v>
      </c>
      <c r="G55" t="s">
        <v>960</v>
      </c>
      <c r="H55" t="s">
        <v>1070</v>
      </c>
      <c r="I55" t="s">
        <v>980</v>
      </c>
    </row>
    <row r="56" customHeight="1" spans="1:9">
      <c r="A56" t="s">
        <v>1045</v>
      </c>
      <c r="B56" t="s">
        <v>1086</v>
      </c>
      <c r="C56" t="s">
        <v>980</v>
      </c>
      <c r="D56" t="s">
        <v>960</v>
      </c>
      <c r="E56" t="s">
        <v>960</v>
      </c>
      <c r="F56" t="s">
        <v>960</v>
      </c>
      <c r="G56" t="s">
        <v>960</v>
      </c>
      <c r="H56" t="s">
        <v>1070</v>
      </c>
      <c r="I56" t="s">
        <v>980</v>
      </c>
    </row>
    <row r="57" customHeight="1" spans="1:9">
      <c r="A57" t="s">
        <v>1046</v>
      </c>
      <c r="B57" t="s">
        <v>1086</v>
      </c>
      <c r="C57" t="s">
        <v>980</v>
      </c>
      <c r="D57" t="s">
        <v>960</v>
      </c>
      <c r="E57" t="s">
        <v>960</v>
      </c>
      <c r="F57" t="s">
        <v>960</v>
      </c>
      <c r="G57" t="s">
        <v>960</v>
      </c>
      <c r="H57" t="s">
        <v>1070</v>
      </c>
      <c r="I57" t="s">
        <v>980</v>
      </c>
    </row>
    <row r="58" customHeight="1" spans="1:9">
      <c r="A58" t="s">
        <v>1047</v>
      </c>
      <c r="B58" t="s">
        <v>1086</v>
      </c>
      <c r="C58" t="s">
        <v>980</v>
      </c>
      <c r="D58" t="s">
        <v>960</v>
      </c>
      <c r="E58" t="s">
        <v>960</v>
      </c>
      <c r="F58" t="s">
        <v>960</v>
      </c>
      <c r="G58" t="s">
        <v>960</v>
      </c>
      <c r="H58" t="s">
        <v>1070</v>
      </c>
      <c r="I58" t="s">
        <v>980</v>
      </c>
    </row>
    <row r="59" customHeight="1" spans="1:9">
      <c r="A59" t="s">
        <v>1049</v>
      </c>
      <c r="B59" t="s">
        <v>1086</v>
      </c>
      <c r="C59" t="s">
        <v>980</v>
      </c>
      <c r="D59" t="s">
        <v>960</v>
      </c>
      <c r="E59" t="s">
        <v>960</v>
      </c>
      <c r="F59" t="s">
        <v>960</v>
      </c>
      <c r="G59" t="s">
        <v>960</v>
      </c>
      <c r="H59" t="s">
        <v>1070</v>
      </c>
      <c r="I59" t="s">
        <v>980</v>
      </c>
    </row>
    <row r="60" customHeight="1" spans="1:9">
      <c r="A60" t="s">
        <v>1050</v>
      </c>
      <c r="B60" t="s">
        <v>1086</v>
      </c>
      <c r="C60" t="s">
        <v>980</v>
      </c>
      <c r="D60" t="s">
        <v>960</v>
      </c>
      <c r="E60" t="s">
        <v>960</v>
      </c>
      <c r="F60" t="s">
        <v>960</v>
      </c>
      <c r="G60" t="s">
        <v>960</v>
      </c>
      <c r="H60" t="s">
        <v>1070</v>
      </c>
      <c r="I60" t="s">
        <v>980</v>
      </c>
    </row>
    <row r="61" customHeight="1" spans="1:9">
      <c r="A61" t="s">
        <v>1051</v>
      </c>
      <c r="B61" t="s">
        <v>1086</v>
      </c>
      <c r="C61" t="s">
        <v>980</v>
      </c>
      <c r="D61" t="s">
        <v>960</v>
      </c>
      <c r="E61" t="s">
        <v>960</v>
      </c>
      <c r="F61" t="s">
        <v>960</v>
      </c>
      <c r="G61" t="s">
        <v>960</v>
      </c>
      <c r="H61" t="s">
        <v>1070</v>
      </c>
      <c r="I61" t="s">
        <v>980</v>
      </c>
    </row>
    <row r="62" customHeight="1" spans="1:9">
      <c r="A62" t="s">
        <v>1053</v>
      </c>
      <c r="B62" t="s">
        <v>1086</v>
      </c>
      <c r="C62" t="s">
        <v>980</v>
      </c>
      <c r="D62" t="s">
        <v>960</v>
      </c>
      <c r="E62" t="s">
        <v>960</v>
      </c>
      <c r="F62" t="s">
        <v>960</v>
      </c>
      <c r="G62" t="s">
        <v>960</v>
      </c>
      <c r="H62" t="s">
        <v>1070</v>
      </c>
      <c r="I62" t="s">
        <v>980</v>
      </c>
    </row>
    <row r="63" customHeight="1" spans="1:9">
      <c r="A63" t="s">
        <v>1034</v>
      </c>
      <c r="B63" t="s">
        <v>1086</v>
      </c>
      <c r="C63" t="s">
        <v>980</v>
      </c>
      <c r="D63" t="s">
        <v>960</v>
      </c>
      <c r="E63" t="s">
        <v>960</v>
      </c>
      <c r="F63" t="s">
        <v>960</v>
      </c>
      <c r="G63" t="s">
        <v>960</v>
      </c>
      <c r="H63" t="s">
        <v>1070</v>
      </c>
      <c r="I63" t="s">
        <v>980</v>
      </c>
    </row>
    <row r="64" customHeight="1" spans="1:9">
      <c r="A64" t="s">
        <v>1055</v>
      </c>
      <c r="B64" t="s">
        <v>1086</v>
      </c>
      <c r="C64" t="s">
        <v>980</v>
      </c>
      <c r="D64" t="s">
        <v>960</v>
      </c>
      <c r="E64" t="s">
        <v>960</v>
      </c>
      <c r="F64" t="s">
        <v>960</v>
      </c>
      <c r="G64" t="s">
        <v>960</v>
      </c>
      <c r="H64" t="s">
        <v>1070</v>
      </c>
      <c r="I64" t="s">
        <v>980</v>
      </c>
    </row>
    <row r="65" customHeight="1" spans="1:9">
      <c r="A65" t="s">
        <v>1056</v>
      </c>
      <c r="B65" t="s">
        <v>1086</v>
      </c>
      <c r="C65" t="s">
        <v>980</v>
      </c>
      <c r="D65" t="s">
        <v>960</v>
      </c>
      <c r="E65" t="s">
        <v>960</v>
      </c>
      <c r="F65" t="s">
        <v>960</v>
      </c>
      <c r="G65" t="s">
        <v>960</v>
      </c>
      <c r="H65" t="s">
        <v>1070</v>
      </c>
      <c r="I65" t="s">
        <v>980</v>
      </c>
    </row>
    <row r="66" customHeight="1" spans="1:9">
      <c r="A66" t="s">
        <v>1058</v>
      </c>
      <c r="B66" t="s">
        <v>1086</v>
      </c>
      <c r="C66" t="s">
        <v>980</v>
      </c>
      <c r="D66" t="s">
        <v>960</v>
      </c>
      <c r="E66" t="s">
        <v>960</v>
      </c>
      <c r="F66" t="s">
        <v>960</v>
      </c>
      <c r="G66" t="s">
        <v>960</v>
      </c>
      <c r="H66" t="s">
        <v>1070</v>
      </c>
      <c r="I66" t="s">
        <v>980</v>
      </c>
    </row>
    <row r="67" customHeight="1" spans="1:1">
      <c r="A67" t="s">
        <v>1087</v>
      </c>
    </row>
    <row r="68" customHeight="1" spans="1:2">
      <c r="A68" t="s">
        <v>1088</v>
      </c>
      <c r="B68" t="s">
        <v>1089</v>
      </c>
    </row>
    <row r="69" customHeight="1" spans="1:1">
      <c r="A69" t="s">
        <v>1090</v>
      </c>
    </row>
    <row r="70" customHeight="1" spans="1:1">
      <c r="A70" t="s">
        <v>1001</v>
      </c>
    </row>
    <row r="71" customHeight="1" spans="1:7">
      <c r="A71" t="s">
        <v>1091</v>
      </c>
      <c r="B71" t="s">
        <v>1092</v>
      </c>
      <c r="C71" t="s">
        <v>1093</v>
      </c>
      <c r="D71" t="s">
        <v>1094</v>
      </c>
      <c r="E71" t="s">
        <v>1095</v>
      </c>
      <c r="F71" t="s">
        <v>1096</v>
      </c>
      <c r="G71" t="s">
        <v>1097</v>
      </c>
    </row>
    <row r="72" customHeight="1" spans="1:7">
      <c r="A72" t="s">
        <v>975</v>
      </c>
      <c r="B72" t="s">
        <v>973</v>
      </c>
      <c r="C72" t="s">
        <v>960</v>
      </c>
      <c r="D72" t="s">
        <v>960</v>
      </c>
      <c r="E72" t="s">
        <v>960</v>
      </c>
      <c r="F72" t="s">
        <v>960</v>
      </c>
      <c r="G72" t="s">
        <v>974</v>
      </c>
    </row>
    <row r="73" customHeight="1" spans="1:1">
      <c r="A73" t="s">
        <v>1098</v>
      </c>
    </row>
    <row r="74" customHeight="1" spans="1:1">
      <c r="A74" t="s">
        <v>1099</v>
      </c>
    </row>
    <row r="75" customHeight="1" spans="1:1">
      <c r="A75">
        <v>1</v>
      </c>
    </row>
    <row r="76" customHeight="1" spans="1:1">
      <c r="A76" t="s">
        <v>1100</v>
      </c>
    </row>
    <row r="77" customHeight="1" spans="1:23">
      <c r="A77" t="s">
        <v>3</v>
      </c>
      <c r="B77" t="s">
        <v>1072</v>
      </c>
      <c r="C77" t="s">
        <v>1101</v>
      </c>
      <c r="D77" t="s">
        <v>1102</v>
      </c>
      <c r="E77" t="s">
        <v>1103</v>
      </c>
      <c r="F77" t="s">
        <v>1104</v>
      </c>
      <c r="G77" t="s">
        <v>1105</v>
      </c>
      <c r="H77" t="s">
        <v>1106</v>
      </c>
      <c r="I77" t="s">
        <v>1107</v>
      </c>
      <c r="J77" t="s">
        <v>1108</v>
      </c>
      <c r="K77" t="s">
        <v>1109</v>
      </c>
      <c r="L77" t="s">
        <v>1110</v>
      </c>
      <c r="M77" t="s">
        <v>1111</v>
      </c>
      <c r="N77" t="s">
        <v>1112</v>
      </c>
      <c r="O77" t="s">
        <v>1113</v>
      </c>
      <c r="P77" t="s">
        <v>1114</v>
      </c>
      <c r="Q77" t="s">
        <v>1115</v>
      </c>
      <c r="R77" t="s">
        <v>1116</v>
      </c>
      <c r="S77" t="s">
        <v>1117</v>
      </c>
      <c r="T77" t="s">
        <v>1118</v>
      </c>
      <c r="U77" t="s">
        <v>1119</v>
      </c>
      <c r="V77" t="s">
        <v>1120</v>
      </c>
      <c r="W77" t="s">
        <v>1121</v>
      </c>
    </row>
    <row r="78" customHeight="1" spans="1:22">
      <c r="A78" t="s">
        <v>711</v>
      </c>
      <c r="C78" t="s">
        <v>1122</v>
      </c>
      <c r="D78" t="s">
        <v>1123</v>
      </c>
      <c r="E78" t="s">
        <v>1124</v>
      </c>
      <c r="F78" t="s">
        <v>1125</v>
      </c>
      <c r="G78" t="s">
        <v>1126</v>
      </c>
      <c r="H78" t="s">
        <v>1127</v>
      </c>
      <c r="I78" t="s">
        <v>1128</v>
      </c>
      <c r="J78" t="s">
        <v>1129</v>
      </c>
      <c r="K78" t="s">
        <v>1130</v>
      </c>
      <c r="L78" t="s">
        <v>1131</v>
      </c>
      <c r="M78" t="s">
        <v>1132</v>
      </c>
      <c r="N78" t="s">
        <v>1133</v>
      </c>
      <c r="O78" t="s">
        <v>1134</v>
      </c>
      <c r="P78" t="s">
        <v>1135</v>
      </c>
      <c r="S78" t="s">
        <v>1136</v>
      </c>
      <c r="T78" t="s">
        <v>1137</v>
      </c>
      <c r="U78" t="s">
        <v>1138</v>
      </c>
      <c r="V78" t="s">
        <v>1139</v>
      </c>
    </row>
    <row r="79" customHeight="1" spans="1:24">
      <c r="A79">
        <v>0</v>
      </c>
      <c r="B79" t="s">
        <v>2</v>
      </c>
      <c r="C79" t="s">
        <v>1140</v>
      </c>
      <c r="D79" t="s">
        <v>1141</v>
      </c>
      <c r="E79" t="s">
        <v>1142</v>
      </c>
      <c r="F79" t="s">
        <v>1143</v>
      </c>
      <c r="G79" t="s">
        <v>1142</v>
      </c>
      <c r="H79" t="s">
        <v>1143</v>
      </c>
      <c r="I79" t="s">
        <v>1142</v>
      </c>
      <c r="J79" t="s">
        <v>1143</v>
      </c>
      <c r="K79" t="s">
        <v>1142</v>
      </c>
      <c r="L79" t="s">
        <v>1143</v>
      </c>
      <c r="M79" t="s">
        <v>1144</v>
      </c>
      <c r="N79" t="s">
        <v>1145</v>
      </c>
      <c r="O79" t="s">
        <v>1146</v>
      </c>
      <c r="P79" t="s">
        <v>1145</v>
      </c>
      <c r="Q79" t="s">
        <v>1144</v>
      </c>
      <c r="R79">
        <v>2</v>
      </c>
      <c r="S79" t="s">
        <v>805</v>
      </c>
      <c r="T79" t="s">
        <v>805</v>
      </c>
      <c r="U79" t="str">
        <f>""</f>
        <v/>
      </c>
      <c r="V79" t="str">
        <f>""</f>
        <v/>
      </c>
      <c r="W79">
        <v>1</v>
      </c>
      <c r="X79" t="s">
        <v>1147</v>
      </c>
    </row>
    <row r="80" customHeight="1" spans="1:24">
      <c r="A80">
        <v>1</v>
      </c>
      <c r="B80" t="s">
        <v>209</v>
      </c>
      <c r="C80" t="s">
        <v>1140</v>
      </c>
      <c r="D80" t="s">
        <v>1141</v>
      </c>
      <c r="E80" t="s">
        <v>1142</v>
      </c>
      <c r="F80" t="s">
        <v>1143</v>
      </c>
      <c r="G80" t="s">
        <v>1142</v>
      </c>
      <c r="H80" t="s">
        <v>1143</v>
      </c>
      <c r="I80" t="s">
        <v>1142</v>
      </c>
      <c r="J80" t="s">
        <v>1143</v>
      </c>
      <c r="K80" t="s">
        <v>1142</v>
      </c>
      <c r="L80" t="s">
        <v>1143</v>
      </c>
      <c r="M80" t="s">
        <v>1144</v>
      </c>
      <c r="N80" t="s">
        <v>1145</v>
      </c>
      <c r="O80" t="s">
        <v>1146</v>
      </c>
      <c r="P80" t="s">
        <v>805</v>
      </c>
      <c r="Q80" t="s">
        <v>805</v>
      </c>
      <c r="R80">
        <v>2</v>
      </c>
      <c r="S80" t="s">
        <v>805</v>
      </c>
      <c r="T80" t="s">
        <v>805</v>
      </c>
      <c r="U80" t="str">
        <f>""</f>
        <v/>
      </c>
      <c r="V80" t="str">
        <f>""</f>
        <v/>
      </c>
      <c r="W80">
        <v>1</v>
      </c>
      <c r="X80" t="s">
        <v>1147</v>
      </c>
    </row>
  </sheetData>
  <mergeCells count="14">
    <mergeCell ref="A1:F1"/>
    <mergeCell ref="A5:F5"/>
    <mergeCell ref="A8:F8"/>
    <mergeCell ref="A11:F11"/>
    <mergeCell ref="A14:F14"/>
    <mergeCell ref="A17:F17"/>
    <mergeCell ref="A33:F33"/>
    <mergeCell ref="A43:F43"/>
    <mergeCell ref="A52:F52"/>
    <mergeCell ref="A67:F67"/>
    <mergeCell ref="A70:F70"/>
    <mergeCell ref="A73:F73"/>
    <mergeCell ref="A76:F76"/>
    <mergeCell ref="B77:B78"/>
  </mergeCells>
  <printOptions headings="1" gridLines="1"/>
  <pageMargins left="0" right="0" top="0" bottom="0" header="0" footer="0"/>
  <pageSetup paperSize="9" orientation="landscape" blackAndWhite="1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53</vt:i4>
      </vt:variant>
    </vt:vector>
  </HeadingPairs>
  <TitlesOfParts>
    <vt:vector size="53" baseType="lpstr">
      <vt:lpstr>XXXX</vt:lpstr>
      <vt:lpstr>Công trình</vt:lpstr>
      <vt:lpstr>Giá tháng</vt:lpstr>
      <vt:lpstr>Đầu vào</vt:lpstr>
      <vt:lpstr>Nhân công</vt:lpstr>
      <vt:lpstr>Máy</vt:lpstr>
      <vt:lpstr>HaoPhiVatTu</vt:lpstr>
      <vt:lpstr>Dự thầu</vt:lpstr>
      <vt:lpstr>Chiết tính</vt:lpstr>
      <vt:lpstr>Tổng hợp VT</vt:lpstr>
      <vt:lpstr>THVT gộp</vt:lpstr>
      <vt:lpstr>Cước VC</vt:lpstr>
      <vt:lpstr>Cước bộ</vt:lpstr>
      <vt:lpstr>Đơn giá chi tiết</vt:lpstr>
      <vt:lpstr>Giá tổng hợp</vt:lpstr>
      <vt:lpstr>THKP hạng mục</vt:lpstr>
      <vt:lpstr>TH chi phí XD</vt:lpstr>
      <vt:lpstr>TH chi phí TB</vt:lpstr>
      <vt:lpstr>HM chung</vt:lpstr>
      <vt:lpstr>Dự phòng</vt:lpstr>
      <vt:lpstr>TH kinh phí</vt:lpstr>
      <vt:lpstr>Luật XD</vt:lpstr>
      <vt:lpstr>Công trình TL</vt:lpstr>
      <vt:lpstr>Hệ số</vt:lpstr>
      <vt:lpstr>Đơn giá TH</vt:lpstr>
      <vt:lpstr>HM chung thầu</vt:lpstr>
      <vt:lpstr>Dự phòng thầu</vt:lpstr>
      <vt:lpstr>Dự toán gói thầu</vt:lpstr>
      <vt:lpstr>Phân tích VT</vt:lpstr>
      <vt:lpstr>Bìa</vt:lpstr>
      <vt:lpstr>NhiênLiệu</vt:lpstr>
      <vt:lpstr>Thẩm định</vt:lpstr>
      <vt:lpstr>Thép</vt:lpstr>
      <vt:lpstr>HSXL</vt:lpstr>
      <vt:lpstr>Định mức tư vấn</vt:lpstr>
      <vt:lpstr>Quyết toán</vt:lpstr>
      <vt:lpstr>Giá tháng QT</vt:lpstr>
      <vt:lpstr>Đầu vào QT</vt:lpstr>
      <vt:lpstr>Nhân công QT</vt:lpstr>
      <vt:lpstr>Máy QT</vt:lpstr>
      <vt:lpstr>HaoPhiVatTu QT</vt:lpstr>
      <vt:lpstr>Tổng hợp VT QT</vt:lpstr>
      <vt:lpstr>Cước VC QT</vt:lpstr>
      <vt:lpstr>Cước bộ QT</vt:lpstr>
      <vt:lpstr>NhiênLiệu QT</vt:lpstr>
      <vt:lpstr>Chiết tính QT</vt:lpstr>
      <vt:lpstr>Dự thầu QT</vt:lpstr>
      <vt:lpstr>Hệ số QT</vt:lpstr>
      <vt:lpstr>HSXLQT</vt:lpstr>
      <vt:lpstr>KL hoàn thành</vt:lpstr>
      <vt:lpstr>KL phát sinh</vt:lpstr>
      <vt:lpstr>Tổng hợp QT</vt:lpstr>
      <vt:lpstr>Cấu hình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South Stephen</cp:lastModifiedBy>
  <dcterms:created xsi:type="dcterms:W3CDTF">2025-09-18T13:58:55Z</dcterms:created>
  <cp:lastPrinted>2019-07-29T01:55:26Z</cp:lastPrinted>
  <dcterms:modified xsi:type="dcterms:W3CDTF">2025-09-18T14:00:01Z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08BE22BD1533484A8BE37B35F2C6734B_13</vt:lpwstr>
  </property>
  <property fmtid="{D5CDD505-2E9C-101B-9397-08002B2CF9AE}" pid="3" name="KSOProductBuildVer">
    <vt:lpwstr>1033-12.2.0.22549</vt:lpwstr>
  </property>
</Properties>
</file>